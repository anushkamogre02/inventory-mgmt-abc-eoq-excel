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264" tabRatio="500" activeTab="2"/>
  </bookViews>
  <sheets>
    <sheet name="Data" sheetId="1" r:id="rId1"/>
    <sheet name="ABC Analysis" sheetId="2" r:id="rId2"/>
    <sheet name="EOQ &amp; Reorder" sheetId="3" r:id="rId3"/>
    <sheet name="Stockout Risk" sheetId="4" r:id="rId4"/>
    <sheet name="Dashboard" sheetId="5" r:id="rId5"/>
  </sheets>
  <definedNames>
    <definedName name="_xlnm._FilterDatabase" localSheetId="1" hidden="1">'ABC Analysis'!$A$1:$G$201</definedName>
    <definedName name="_xlnm._FilterDatabase" localSheetId="0" hidden="1">Data!$A$1:$N$201</definedName>
  </definedNames>
  <calcPr calcId="152511" iterateDelta="1E-4"/>
  <pivotCaches>
    <pivotCache cacheId="6" r:id="rId6"/>
  </pivotCaches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" i="4"/>
  <c r="E5" i="5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E3" i="3" l="1"/>
  <c r="H3" i="3" s="1"/>
  <c r="E4" i="3"/>
  <c r="H4" i="3" s="1"/>
  <c r="E5" i="3"/>
  <c r="H5" i="3" s="1"/>
  <c r="E6" i="3"/>
  <c r="H6" i="3" s="1"/>
  <c r="E7" i="3"/>
  <c r="H7" i="3" s="1"/>
  <c r="E8" i="3"/>
  <c r="H8" i="3" s="1"/>
  <c r="E9" i="3"/>
  <c r="H9" i="3" s="1"/>
  <c r="E10" i="3"/>
  <c r="H10" i="3" s="1"/>
  <c r="E11" i="3"/>
  <c r="H11" i="3" s="1"/>
  <c r="E12" i="3"/>
  <c r="H12" i="3" s="1"/>
  <c r="E13" i="3"/>
  <c r="H13" i="3" s="1"/>
  <c r="E14" i="3"/>
  <c r="H14" i="3" s="1"/>
  <c r="E15" i="3"/>
  <c r="H15" i="3" s="1"/>
  <c r="E16" i="3"/>
  <c r="H16" i="3" s="1"/>
  <c r="E17" i="3"/>
  <c r="H17" i="3" s="1"/>
  <c r="E18" i="3"/>
  <c r="H18" i="3" s="1"/>
  <c r="E19" i="3"/>
  <c r="H19" i="3" s="1"/>
  <c r="E20" i="3"/>
  <c r="H20" i="3" s="1"/>
  <c r="E21" i="3"/>
  <c r="H21" i="3" s="1"/>
  <c r="E22" i="3"/>
  <c r="H22" i="3" s="1"/>
  <c r="E23" i="3"/>
  <c r="H23" i="3" s="1"/>
  <c r="E24" i="3"/>
  <c r="H24" i="3" s="1"/>
  <c r="E25" i="3"/>
  <c r="H25" i="3" s="1"/>
  <c r="E26" i="3"/>
  <c r="H26" i="3" s="1"/>
  <c r="E27" i="3"/>
  <c r="H27" i="3" s="1"/>
  <c r="E28" i="3"/>
  <c r="H28" i="3" s="1"/>
  <c r="E29" i="3"/>
  <c r="H29" i="3" s="1"/>
  <c r="E30" i="3"/>
  <c r="H30" i="3" s="1"/>
  <c r="E31" i="3"/>
  <c r="H31" i="3" s="1"/>
  <c r="E32" i="3"/>
  <c r="H32" i="3" s="1"/>
  <c r="E33" i="3"/>
  <c r="H33" i="3" s="1"/>
  <c r="E34" i="3"/>
  <c r="H34" i="3" s="1"/>
  <c r="E35" i="3"/>
  <c r="H35" i="3" s="1"/>
  <c r="E36" i="3"/>
  <c r="H36" i="3" s="1"/>
  <c r="E37" i="3"/>
  <c r="H37" i="3" s="1"/>
  <c r="E38" i="3"/>
  <c r="H38" i="3" s="1"/>
  <c r="E39" i="3"/>
  <c r="H39" i="3" s="1"/>
  <c r="E40" i="3"/>
  <c r="H40" i="3" s="1"/>
  <c r="E41" i="3"/>
  <c r="H41" i="3" s="1"/>
  <c r="E42" i="3"/>
  <c r="H42" i="3" s="1"/>
  <c r="E43" i="3"/>
  <c r="H43" i="3" s="1"/>
  <c r="E44" i="3"/>
  <c r="H44" i="3" s="1"/>
  <c r="E45" i="3"/>
  <c r="H45" i="3" s="1"/>
  <c r="E46" i="3"/>
  <c r="H46" i="3" s="1"/>
  <c r="E47" i="3"/>
  <c r="H47" i="3" s="1"/>
  <c r="E48" i="3"/>
  <c r="H48" i="3" s="1"/>
  <c r="E49" i="3"/>
  <c r="H49" i="3" s="1"/>
  <c r="E50" i="3"/>
  <c r="H50" i="3" s="1"/>
  <c r="E51" i="3"/>
  <c r="H51" i="3" s="1"/>
  <c r="E52" i="3"/>
  <c r="H52" i="3" s="1"/>
  <c r="E53" i="3"/>
  <c r="H53" i="3" s="1"/>
  <c r="E54" i="3"/>
  <c r="H54" i="3" s="1"/>
  <c r="E55" i="3"/>
  <c r="H55" i="3" s="1"/>
  <c r="E56" i="3"/>
  <c r="H56" i="3" s="1"/>
  <c r="E57" i="3"/>
  <c r="H57" i="3" s="1"/>
  <c r="E58" i="3"/>
  <c r="H58" i="3" s="1"/>
  <c r="E59" i="3"/>
  <c r="H59" i="3" s="1"/>
  <c r="E60" i="3"/>
  <c r="H60" i="3" s="1"/>
  <c r="E61" i="3"/>
  <c r="H61" i="3" s="1"/>
  <c r="E62" i="3"/>
  <c r="H62" i="3" s="1"/>
  <c r="E63" i="3"/>
  <c r="H63" i="3" s="1"/>
  <c r="E64" i="3"/>
  <c r="H64" i="3" s="1"/>
  <c r="E65" i="3"/>
  <c r="H65" i="3" s="1"/>
  <c r="E66" i="3"/>
  <c r="H66" i="3" s="1"/>
  <c r="E67" i="3"/>
  <c r="H67" i="3" s="1"/>
  <c r="E68" i="3"/>
  <c r="H68" i="3" s="1"/>
  <c r="E69" i="3"/>
  <c r="H69" i="3" s="1"/>
  <c r="E70" i="3"/>
  <c r="H70" i="3" s="1"/>
  <c r="E71" i="3"/>
  <c r="H71" i="3" s="1"/>
  <c r="E72" i="3"/>
  <c r="H72" i="3" s="1"/>
  <c r="E73" i="3"/>
  <c r="H73" i="3" s="1"/>
  <c r="E74" i="3"/>
  <c r="H74" i="3" s="1"/>
  <c r="E75" i="3"/>
  <c r="H75" i="3" s="1"/>
  <c r="E76" i="3"/>
  <c r="H76" i="3" s="1"/>
  <c r="E77" i="3"/>
  <c r="H77" i="3" s="1"/>
  <c r="E78" i="3"/>
  <c r="H78" i="3" s="1"/>
  <c r="E79" i="3"/>
  <c r="H79" i="3" s="1"/>
  <c r="E80" i="3"/>
  <c r="H80" i="3" s="1"/>
  <c r="E81" i="3"/>
  <c r="H81" i="3" s="1"/>
  <c r="E82" i="3"/>
  <c r="H82" i="3" s="1"/>
  <c r="E83" i="3"/>
  <c r="H83" i="3" s="1"/>
  <c r="E84" i="3"/>
  <c r="H84" i="3" s="1"/>
  <c r="E85" i="3"/>
  <c r="H85" i="3" s="1"/>
  <c r="E86" i="3"/>
  <c r="H86" i="3" s="1"/>
  <c r="E87" i="3"/>
  <c r="H87" i="3" s="1"/>
  <c r="E88" i="3"/>
  <c r="H88" i="3" s="1"/>
  <c r="E89" i="3"/>
  <c r="H89" i="3" s="1"/>
  <c r="E90" i="3"/>
  <c r="H90" i="3" s="1"/>
  <c r="E91" i="3"/>
  <c r="H91" i="3" s="1"/>
  <c r="E92" i="3"/>
  <c r="H92" i="3" s="1"/>
  <c r="E93" i="3"/>
  <c r="H93" i="3" s="1"/>
  <c r="E94" i="3"/>
  <c r="H94" i="3" s="1"/>
  <c r="E95" i="3"/>
  <c r="H95" i="3" s="1"/>
  <c r="E96" i="3"/>
  <c r="H96" i="3" s="1"/>
  <c r="E97" i="3"/>
  <c r="H97" i="3" s="1"/>
  <c r="E98" i="3"/>
  <c r="H98" i="3" s="1"/>
  <c r="E99" i="3"/>
  <c r="H99" i="3" s="1"/>
  <c r="E100" i="3"/>
  <c r="H100" i="3" s="1"/>
  <c r="E101" i="3"/>
  <c r="H101" i="3" s="1"/>
  <c r="E102" i="3"/>
  <c r="H102" i="3" s="1"/>
  <c r="E103" i="3"/>
  <c r="H103" i="3" s="1"/>
  <c r="E104" i="3"/>
  <c r="H104" i="3" s="1"/>
  <c r="E105" i="3"/>
  <c r="H105" i="3" s="1"/>
  <c r="E106" i="3"/>
  <c r="H106" i="3" s="1"/>
  <c r="E107" i="3"/>
  <c r="H107" i="3" s="1"/>
  <c r="E108" i="3"/>
  <c r="H108" i="3" s="1"/>
  <c r="E109" i="3"/>
  <c r="H109" i="3" s="1"/>
  <c r="E110" i="3"/>
  <c r="H110" i="3" s="1"/>
  <c r="E111" i="3"/>
  <c r="H111" i="3" s="1"/>
  <c r="E112" i="3"/>
  <c r="H112" i="3" s="1"/>
  <c r="E113" i="3"/>
  <c r="H113" i="3" s="1"/>
  <c r="E114" i="3"/>
  <c r="H114" i="3" s="1"/>
  <c r="E115" i="3"/>
  <c r="H115" i="3" s="1"/>
  <c r="E116" i="3"/>
  <c r="H116" i="3" s="1"/>
  <c r="E117" i="3"/>
  <c r="H117" i="3" s="1"/>
  <c r="E118" i="3"/>
  <c r="H118" i="3" s="1"/>
  <c r="E119" i="3"/>
  <c r="H119" i="3" s="1"/>
  <c r="E120" i="3"/>
  <c r="H120" i="3" s="1"/>
  <c r="E121" i="3"/>
  <c r="H121" i="3" s="1"/>
  <c r="E122" i="3"/>
  <c r="H122" i="3" s="1"/>
  <c r="E123" i="3"/>
  <c r="H123" i="3" s="1"/>
  <c r="E124" i="3"/>
  <c r="H124" i="3" s="1"/>
  <c r="E125" i="3"/>
  <c r="H125" i="3" s="1"/>
  <c r="E126" i="3"/>
  <c r="H126" i="3" s="1"/>
  <c r="E127" i="3"/>
  <c r="H127" i="3" s="1"/>
  <c r="E128" i="3"/>
  <c r="H128" i="3" s="1"/>
  <c r="E129" i="3"/>
  <c r="H129" i="3" s="1"/>
  <c r="E130" i="3"/>
  <c r="H130" i="3" s="1"/>
  <c r="E131" i="3"/>
  <c r="H131" i="3" s="1"/>
  <c r="E132" i="3"/>
  <c r="H132" i="3" s="1"/>
  <c r="E133" i="3"/>
  <c r="H133" i="3" s="1"/>
  <c r="E134" i="3"/>
  <c r="H134" i="3" s="1"/>
  <c r="E135" i="3"/>
  <c r="H135" i="3" s="1"/>
  <c r="E136" i="3"/>
  <c r="H136" i="3" s="1"/>
  <c r="E137" i="3"/>
  <c r="H137" i="3" s="1"/>
  <c r="E138" i="3"/>
  <c r="H138" i="3" s="1"/>
  <c r="E139" i="3"/>
  <c r="H139" i="3" s="1"/>
  <c r="E140" i="3"/>
  <c r="H140" i="3" s="1"/>
  <c r="E141" i="3"/>
  <c r="H141" i="3" s="1"/>
  <c r="E142" i="3"/>
  <c r="H142" i="3" s="1"/>
  <c r="E143" i="3"/>
  <c r="H143" i="3" s="1"/>
  <c r="E144" i="3"/>
  <c r="H144" i="3" s="1"/>
  <c r="E145" i="3"/>
  <c r="H145" i="3" s="1"/>
  <c r="E146" i="3"/>
  <c r="H146" i="3" s="1"/>
  <c r="E147" i="3"/>
  <c r="H147" i="3" s="1"/>
  <c r="E148" i="3"/>
  <c r="H148" i="3" s="1"/>
  <c r="E149" i="3"/>
  <c r="H149" i="3" s="1"/>
  <c r="E150" i="3"/>
  <c r="H150" i="3" s="1"/>
  <c r="E151" i="3"/>
  <c r="H151" i="3" s="1"/>
  <c r="E152" i="3"/>
  <c r="H152" i="3" s="1"/>
  <c r="E153" i="3"/>
  <c r="H153" i="3" s="1"/>
  <c r="E154" i="3"/>
  <c r="H154" i="3" s="1"/>
  <c r="E155" i="3"/>
  <c r="H155" i="3" s="1"/>
  <c r="E156" i="3"/>
  <c r="H156" i="3" s="1"/>
  <c r="E157" i="3"/>
  <c r="H157" i="3" s="1"/>
  <c r="E158" i="3"/>
  <c r="H158" i="3" s="1"/>
  <c r="E159" i="3"/>
  <c r="H159" i="3" s="1"/>
  <c r="E160" i="3"/>
  <c r="H160" i="3" s="1"/>
  <c r="E161" i="3"/>
  <c r="H161" i="3" s="1"/>
  <c r="E162" i="3"/>
  <c r="H162" i="3" s="1"/>
  <c r="E163" i="3"/>
  <c r="H163" i="3" s="1"/>
  <c r="E164" i="3"/>
  <c r="H164" i="3" s="1"/>
  <c r="E165" i="3"/>
  <c r="H165" i="3" s="1"/>
  <c r="E166" i="3"/>
  <c r="H166" i="3" s="1"/>
  <c r="E167" i="3"/>
  <c r="H167" i="3" s="1"/>
  <c r="E168" i="3"/>
  <c r="H168" i="3" s="1"/>
  <c r="E169" i="3"/>
  <c r="H169" i="3" s="1"/>
  <c r="E170" i="3"/>
  <c r="H170" i="3" s="1"/>
  <c r="E171" i="3"/>
  <c r="H171" i="3" s="1"/>
  <c r="E172" i="3"/>
  <c r="H172" i="3" s="1"/>
  <c r="E173" i="3"/>
  <c r="H173" i="3" s="1"/>
  <c r="E174" i="3"/>
  <c r="H174" i="3" s="1"/>
  <c r="E175" i="3"/>
  <c r="H175" i="3" s="1"/>
  <c r="E176" i="3"/>
  <c r="H176" i="3" s="1"/>
  <c r="E177" i="3"/>
  <c r="H177" i="3" s="1"/>
  <c r="E178" i="3"/>
  <c r="H178" i="3" s="1"/>
  <c r="E179" i="3"/>
  <c r="H179" i="3" s="1"/>
  <c r="E180" i="3"/>
  <c r="H180" i="3" s="1"/>
  <c r="E181" i="3"/>
  <c r="H181" i="3" s="1"/>
  <c r="E182" i="3"/>
  <c r="H182" i="3" s="1"/>
  <c r="E183" i="3"/>
  <c r="H183" i="3" s="1"/>
  <c r="E184" i="3"/>
  <c r="H184" i="3" s="1"/>
  <c r="E185" i="3"/>
  <c r="H185" i="3" s="1"/>
  <c r="E186" i="3"/>
  <c r="H186" i="3" s="1"/>
  <c r="E187" i="3"/>
  <c r="H187" i="3" s="1"/>
  <c r="E188" i="3"/>
  <c r="H188" i="3" s="1"/>
  <c r="E189" i="3"/>
  <c r="H189" i="3" s="1"/>
  <c r="E190" i="3"/>
  <c r="H190" i="3" s="1"/>
  <c r="E191" i="3"/>
  <c r="H191" i="3" s="1"/>
  <c r="E192" i="3"/>
  <c r="H192" i="3" s="1"/>
  <c r="E193" i="3"/>
  <c r="H193" i="3" s="1"/>
  <c r="E194" i="3"/>
  <c r="H194" i="3" s="1"/>
  <c r="E195" i="3"/>
  <c r="H195" i="3" s="1"/>
  <c r="E196" i="3"/>
  <c r="H196" i="3" s="1"/>
  <c r="E197" i="3"/>
  <c r="H197" i="3" s="1"/>
  <c r="E198" i="3"/>
  <c r="H198" i="3" s="1"/>
  <c r="E199" i="3"/>
  <c r="H199" i="3" s="1"/>
  <c r="E200" i="3"/>
  <c r="H200" i="3" s="1"/>
  <c r="E201" i="3"/>
  <c r="H201" i="3" s="1"/>
  <c r="E2" i="3"/>
  <c r="H2" i="3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" i="3"/>
  <c r="D9" i="2"/>
  <c r="D165" i="2"/>
  <c r="D100" i="2"/>
  <c r="D133" i="2"/>
  <c r="D32" i="2"/>
  <c r="D135" i="2"/>
  <c r="D33" i="2"/>
  <c r="D20" i="2"/>
  <c r="D58" i="2"/>
  <c r="D37" i="2"/>
  <c r="D46" i="2"/>
  <c r="D98" i="2"/>
  <c r="D150" i="2"/>
  <c r="D163" i="2"/>
  <c r="D82" i="2"/>
  <c r="D130" i="2"/>
  <c r="D65" i="2"/>
  <c r="D66" i="2"/>
  <c r="D12" i="2"/>
  <c r="D200" i="2"/>
  <c r="D120" i="2"/>
  <c r="D55" i="2"/>
  <c r="D171" i="2"/>
  <c r="D54" i="2"/>
  <c r="D42" i="2"/>
  <c r="D93" i="2"/>
  <c r="D115" i="2"/>
  <c r="D52" i="2"/>
  <c r="D81" i="2"/>
  <c r="D2" i="2"/>
  <c r="E2" i="2" s="1"/>
  <c r="D197" i="2"/>
  <c r="D75" i="2"/>
  <c r="D132" i="2"/>
  <c r="D153" i="2"/>
  <c r="D48" i="2"/>
  <c r="D62" i="2"/>
  <c r="D121" i="2"/>
  <c r="D43" i="2"/>
  <c r="D184" i="2"/>
  <c r="D174" i="2"/>
  <c r="D118" i="2"/>
  <c r="D26" i="2"/>
  <c r="D79" i="2"/>
  <c r="D104" i="2"/>
  <c r="D84" i="2"/>
  <c r="D107" i="2"/>
  <c r="D170" i="2"/>
  <c r="D126" i="2"/>
  <c r="D146" i="2"/>
  <c r="D47" i="2"/>
  <c r="D76" i="2"/>
  <c r="D101" i="2"/>
  <c r="D173" i="2"/>
  <c r="D44" i="2"/>
  <c r="D166" i="2"/>
  <c r="D196" i="2"/>
  <c r="D140" i="2"/>
  <c r="D168" i="2"/>
  <c r="D151" i="2"/>
  <c r="D96" i="2"/>
  <c r="D154" i="2"/>
  <c r="D5" i="2"/>
  <c r="D192" i="2"/>
  <c r="D74" i="2"/>
  <c r="D112" i="2"/>
  <c r="D83" i="2"/>
  <c r="D185" i="2"/>
  <c r="D194" i="2"/>
  <c r="D167" i="2"/>
  <c r="D77" i="2"/>
  <c r="D21" i="2"/>
  <c r="D129" i="2"/>
  <c r="D186" i="2"/>
  <c r="D156" i="2"/>
  <c r="D67" i="2"/>
  <c r="D162" i="2"/>
  <c r="D71" i="2"/>
  <c r="D181" i="2"/>
  <c r="D111" i="2"/>
  <c r="D51" i="2"/>
  <c r="D85" i="2"/>
  <c r="D117" i="2"/>
  <c r="D179" i="2"/>
  <c r="D99" i="2"/>
  <c r="D193" i="2"/>
  <c r="D131" i="2"/>
  <c r="D24" i="2"/>
  <c r="D14" i="2"/>
  <c r="D176" i="2"/>
  <c r="D122" i="2"/>
  <c r="D68" i="2"/>
  <c r="D7" i="2"/>
  <c r="D114" i="2"/>
  <c r="D142" i="2"/>
  <c r="D169" i="2"/>
  <c r="D64" i="2"/>
  <c r="D29" i="2"/>
  <c r="D172" i="2"/>
  <c r="D3" i="2"/>
  <c r="D35" i="2"/>
  <c r="D61" i="2"/>
  <c r="D148" i="2"/>
  <c r="D63" i="2"/>
  <c r="D89" i="2"/>
  <c r="D145" i="2"/>
  <c r="D25" i="2"/>
  <c r="D157" i="2"/>
  <c r="D124" i="2"/>
  <c r="D27" i="2"/>
  <c r="D127" i="2"/>
  <c r="D159" i="2"/>
  <c r="D78" i="2"/>
  <c r="D136" i="2"/>
  <c r="D22" i="2"/>
  <c r="D87" i="2"/>
  <c r="D15" i="2"/>
  <c r="D13" i="2"/>
  <c r="D50" i="2"/>
  <c r="D70" i="2"/>
  <c r="D49" i="2"/>
  <c r="D190" i="2"/>
  <c r="D97" i="2"/>
  <c r="D103" i="2"/>
  <c r="D45" i="2"/>
  <c r="D141" i="2"/>
  <c r="D18" i="2"/>
  <c r="D17" i="2"/>
  <c r="D138" i="2"/>
  <c r="D53" i="2"/>
  <c r="D23" i="2"/>
  <c r="D119" i="2"/>
  <c r="D199" i="2"/>
  <c r="D39" i="2"/>
  <c r="D109" i="2"/>
  <c r="D164" i="2"/>
  <c r="D40" i="2"/>
  <c r="D59" i="2"/>
  <c r="D56" i="2"/>
  <c r="D31" i="2"/>
  <c r="D125" i="2"/>
  <c r="D198" i="2"/>
  <c r="D73" i="2"/>
  <c r="D149" i="2"/>
  <c r="D195" i="2"/>
  <c r="D177" i="2"/>
  <c r="D161" i="2"/>
  <c r="D60" i="2"/>
  <c r="D187" i="2"/>
  <c r="D128" i="2"/>
  <c r="D160" i="2"/>
  <c r="D189" i="2"/>
  <c r="D102" i="2"/>
  <c r="D6" i="2"/>
  <c r="D178" i="2"/>
  <c r="D86" i="2"/>
  <c r="D4" i="2"/>
  <c r="D143" i="2"/>
  <c r="D72" i="2"/>
  <c r="D106" i="2"/>
  <c r="D182" i="2"/>
  <c r="D134" i="2"/>
  <c r="D92" i="2"/>
  <c r="D28" i="2"/>
  <c r="D105" i="2"/>
  <c r="D123" i="2"/>
  <c r="D11" i="2"/>
  <c r="D175" i="2"/>
  <c r="D158" i="2"/>
  <c r="D137" i="2"/>
  <c r="D36" i="2"/>
  <c r="D201" i="2"/>
  <c r="D16" i="2"/>
  <c r="D155" i="2"/>
  <c r="D152" i="2"/>
  <c r="D147" i="2"/>
  <c r="D188" i="2"/>
  <c r="D180" i="2"/>
  <c r="D8" i="2"/>
  <c r="D183" i="2"/>
  <c r="D110" i="2"/>
  <c r="D41" i="2"/>
  <c r="D10" i="2"/>
  <c r="D139" i="2"/>
  <c r="D69" i="2"/>
  <c r="D144" i="2"/>
  <c r="D30" i="2"/>
  <c r="D94" i="2"/>
  <c r="D108" i="2"/>
  <c r="D38" i="2"/>
  <c r="D113" i="2"/>
  <c r="D19" i="2"/>
  <c r="D116" i="2"/>
  <c r="D34" i="2"/>
  <c r="D80" i="2"/>
  <c r="D90" i="2"/>
  <c r="D191" i="2"/>
  <c r="D95" i="2"/>
  <c r="D88" i="2"/>
  <c r="D57" i="2"/>
  <c r="D91" i="2"/>
  <c r="C9" i="2"/>
  <c r="C165" i="2"/>
  <c r="C100" i="2"/>
  <c r="C133" i="2"/>
  <c r="C32" i="2"/>
  <c r="C135" i="2"/>
  <c r="C33" i="2"/>
  <c r="C20" i="2"/>
  <c r="C58" i="2"/>
  <c r="C37" i="2"/>
  <c r="C46" i="2"/>
  <c r="C98" i="2"/>
  <c r="C150" i="2"/>
  <c r="C163" i="2"/>
  <c r="C82" i="2"/>
  <c r="C130" i="2"/>
  <c r="C65" i="2"/>
  <c r="C66" i="2"/>
  <c r="C12" i="2"/>
  <c r="C200" i="2"/>
  <c r="C120" i="2"/>
  <c r="C55" i="2"/>
  <c r="C171" i="2"/>
  <c r="C54" i="2"/>
  <c r="C42" i="2"/>
  <c r="C93" i="2"/>
  <c r="C115" i="2"/>
  <c r="C52" i="2"/>
  <c r="C81" i="2"/>
  <c r="C2" i="2"/>
  <c r="C197" i="2"/>
  <c r="C75" i="2"/>
  <c r="C132" i="2"/>
  <c r="C153" i="2"/>
  <c r="C48" i="2"/>
  <c r="C62" i="2"/>
  <c r="C121" i="2"/>
  <c r="C43" i="2"/>
  <c r="C184" i="2"/>
  <c r="C174" i="2"/>
  <c r="C118" i="2"/>
  <c r="C26" i="2"/>
  <c r="C79" i="2"/>
  <c r="C104" i="2"/>
  <c r="C84" i="2"/>
  <c r="C107" i="2"/>
  <c r="C170" i="2"/>
  <c r="C126" i="2"/>
  <c r="C146" i="2"/>
  <c r="C47" i="2"/>
  <c r="C76" i="2"/>
  <c r="C101" i="2"/>
  <c r="C173" i="2"/>
  <c r="C44" i="2"/>
  <c r="C166" i="2"/>
  <c r="C196" i="2"/>
  <c r="C140" i="2"/>
  <c r="C168" i="2"/>
  <c r="C151" i="2"/>
  <c r="C96" i="2"/>
  <c r="C154" i="2"/>
  <c r="C5" i="2"/>
  <c r="C192" i="2"/>
  <c r="C74" i="2"/>
  <c r="C112" i="2"/>
  <c r="C83" i="2"/>
  <c r="C185" i="2"/>
  <c r="C194" i="2"/>
  <c r="C167" i="2"/>
  <c r="C77" i="2"/>
  <c r="C21" i="2"/>
  <c r="C129" i="2"/>
  <c r="C186" i="2"/>
  <c r="C156" i="2"/>
  <c r="C67" i="2"/>
  <c r="C162" i="2"/>
  <c r="C71" i="2"/>
  <c r="C181" i="2"/>
  <c r="C111" i="2"/>
  <c r="C51" i="2"/>
  <c r="C85" i="2"/>
  <c r="C117" i="2"/>
  <c r="C179" i="2"/>
  <c r="C99" i="2"/>
  <c r="C193" i="2"/>
  <c r="C131" i="2"/>
  <c r="C24" i="2"/>
  <c r="C14" i="2"/>
  <c r="C176" i="2"/>
  <c r="C122" i="2"/>
  <c r="C68" i="2"/>
  <c r="C7" i="2"/>
  <c r="C114" i="2"/>
  <c r="C142" i="2"/>
  <c r="C169" i="2"/>
  <c r="C64" i="2"/>
  <c r="C29" i="2"/>
  <c r="C172" i="2"/>
  <c r="C3" i="2"/>
  <c r="C35" i="2"/>
  <c r="C61" i="2"/>
  <c r="C148" i="2"/>
  <c r="C63" i="2"/>
  <c r="C89" i="2"/>
  <c r="C145" i="2"/>
  <c r="C25" i="2"/>
  <c r="C157" i="2"/>
  <c r="C124" i="2"/>
  <c r="C27" i="2"/>
  <c r="C127" i="2"/>
  <c r="C159" i="2"/>
  <c r="C78" i="2"/>
  <c r="C136" i="2"/>
  <c r="C22" i="2"/>
  <c r="C87" i="2"/>
  <c r="C15" i="2"/>
  <c r="C13" i="2"/>
  <c r="C50" i="2"/>
  <c r="C70" i="2"/>
  <c r="C49" i="2"/>
  <c r="C190" i="2"/>
  <c r="C97" i="2"/>
  <c r="C103" i="2"/>
  <c r="C45" i="2"/>
  <c r="C141" i="2"/>
  <c r="C18" i="2"/>
  <c r="C17" i="2"/>
  <c r="C138" i="2"/>
  <c r="C53" i="2"/>
  <c r="C23" i="2"/>
  <c r="C119" i="2"/>
  <c r="C199" i="2"/>
  <c r="C39" i="2"/>
  <c r="C109" i="2"/>
  <c r="C164" i="2"/>
  <c r="C40" i="2"/>
  <c r="C59" i="2"/>
  <c r="C56" i="2"/>
  <c r="C31" i="2"/>
  <c r="C125" i="2"/>
  <c r="C198" i="2"/>
  <c r="C73" i="2"/>
  <c r="C149" i="2"/>
  <c r="C195" i="2"/>
  <c r="C177" i="2"/>
  <c r="C161" i="2"/>
  <c r="C60" i="2"/>
  <c r="C187" i="2"/>
  <c r="C128" i="2"/>
  <c r="C160" i="2"/>
  <c r="C189" i="2"/>
  <c r="C102" i="2"/>
  <c r="C6" i="2"/>
  <c r="C178" i="2"/>
  <c r="C86" i="2"/>
  <c r="C4" i="2"/>
  <c r="C143" i="2"/>
  <c r="C72" i="2"/>
  <c r="C106" i="2"/>
  <c r="C182" i="2"/>
  <c r="C134" i="2"/>
  <c r="C92" i="2"/>
  <c r="C28" i="2"/>
  <c r="C105" i="2"/>
  <c r="C123" i="2"/>
  <c r="C11" i="2"/>
  <c r="C175" i="2"/>
  <c r="C158" i="2"/>
  <c r="C137" i="2"/>
  <c r="C36" i="2"/>
  <c r="C201" i="2"/>
  <c r="C16" i="2"/>
  <c r="C155" i="2"/>
  <c r="C152" i="2"/>
  <c r="C147" i="2"/>
  <c r="C188" i="2"/>
  <c r="C180" i="2"/>
  <c r="C8" i="2"/>
  <c r="C183" i="2"/>
  <c r="C110" i="2"/>
  <c r="C41" i="2"/>
  <c r="C10" i="2"/>
  <c r="C139" i="2"/>
  <c r="C69" i="2"/>
  <c r="C144" i="2"/>
  <c r="C30" i="2"/>
  <c r="C94" i="2"/>
  <c r="C108" i="2"/>
  <c r="C38" i="2"/>
  <c r="C113" i="2"/>
  <c r="C19" i="2"/>
  <c r="C116" i="2"/>
  <c r="C34" i="2"/>
  <c r="C80" i="2"/>
  <c r="C90" i="2"/>
  <c r="C191" i="2"/>
  <c r="C95" i="2"/>
  <c r="C88" i="2"/>
  <c r="C57" i="2"/>
  <c r="C91" i="2"/>
  <c r="B9" i="2"/>
  <c r="B165" i="2"/>
  <c r="B100" i="2"/>
  <c r="B133" i="2"/>
  <c r="B32" i="2"/>
  <c r="B135" i="2"/>
  <c r="B33" i="2"/>
  <c r="B20" i="2"/>
  <c r="B58" i="2"/>
  <c r="B37" i="2"/>
  <c r="B46" i="2"/>
  <c r="B98" i="2"/>
  <c r="B150" i="2"/>
  <c r="B163" i="2"/>
  <c r="B82" i="2"/>
  <c r="B130" i="2"/>
  <c r="B65" i="2"/>
  <c r="B66" i="2"/>
  <c r="B12" i="2"/>
  <c r="B200" i="2"/>
  <c r="B120" i="2"/>
  <c r="B55" i="2"/>
  <c r="B171" i="2"/>
  <c r="B54" i="2"/>
  <c r="B42" i="2"/>
  <c r="B93" i="2"/>
  <c r="B115" i="2"/>
  <c r="B52" i="2"/>
  <c r="B81" i="2"/>
  <c r="B2" i="2"/>
  <c r="B197" i="2"/>
  <c r="B75" i="2"/>
  <c r="B132" i="2"/>
  <c r="B153" i="2"/>
  <c r="B48" i="2"/>
  <c r="B62" i="2"/>
  <c r="B121" i="2"/>
  <c r="B43" i="2"/>
  <c r="B184" i="2"/>
  <c r="B174" i="2"/>
  <c r="B118" i="2"/>
  <c r="B26" i="2"/>
  <c r="B79" i="2"/>
  <c r="B104" i="2"/>
  <c r="B84" i="2"/>
  <c r="B107" i="2"/>
  <c r="B170" i="2"/>
  <c r="B126" i="2"/>
  <c r="B146" i="2"/>
  <c r="B47" i="2"/>
  <c r="B76" i="2"/>
  <c r="B101" i="2"/>
  <c r="B173" i="2"/>
  <c r="B44" i="2"/>
  <c r="B166" i="2"/>
  <c r="B196" i="2"/>
  <c r="B140" i="2"/>
  <c r="B168" i="2"/>
  <c r="B151" i="2"/>
  <c r="B96" i="2"/>
  <c r="B154" i="2"/>
  <c r="B5" i="2"/>
  <c r="B192" i="2"/>
  <c r="B74" i="2"/>
  <c r="B112" i="2"/>
  <c r="B83" i="2"/>
  <c r="B185" i="2"/>
  <c r="B194" i="2"/>
  <c r="B167" i="2"/>
  <c r="B77" i="2"/>
  <c r="B21" i="2"/>
  <c r="B129" i="2"/>
  <c r="B186" i="2"/>
  <c r="B156" i="2"/>
  <c r="B67" i="2"/>
  <c r="B162" i="2"/>
  <c r="B71" i="2"/>
  <c r="B181" i="2"/>
  <c r="B111" i="2"/>
  <c r="B51" i="2"/>
  <c r="B85" i="2"/>
  <c r="B117" i="2"/>
  <c r="B179" i="2"/>
  <c r="B99" i="2"/>
  <c r="B193" i="2"/>
  <c r="B131" i="2"/>
  <c r="B24" i="2"/>
  <c r="B14" i="2"/>
  <c r="B176" i="2"/>
  <c r="B122" i="2"/>
  <c r="B68" i="2"/>
  <c r="B7" i="2"/>
  <c r="B114" i="2"/>
  <c r="B142" i="2"/>
  <c r="B169" i="2"/>
  <c r="B64" i="2"/>
  <c r="B29" i="2"/>
  <c r="B172" i="2"/>
  <c r="B3" i="2"/>
  <c r="B35" i="2"/>
  <c r="B61" i="2"/>
  <c r="B148" i="2"/>
  <c r="B63" i="2"/>
  <c r="B89" i="2"/>
  <c r="B145" i="2"/>
  <c r="B25" i="2"/>
  <c r="B157" i="2"/>
  <c r="B124" i="2"/>
  <c r="B27" i="2"/>
  <c r="B127" i="2"/>
  <c r="B159" i="2"/>
  <c r="B78" i="2"/>
  <c r="B136" i="2"/>
  <c r="B22" i="2"/>
  <c r="B87" i="2"/>
  <c r="B15" i="2"/>
  <c r="B13" i="2"/>
  <c r="B50" i="2"/>
  <c r="B70" i="2"/>
  <c r="B49" i="2"/>
  <c r="B190" i="2"/>
  <c r="B97" i="2"/>
  <c r="B103" i="2"/>
  <c r="B45" i="2"/>
  <c r="B141" i="2"/>
  <c r="B18" i="2"/>
  <c r="B17" i="2"/>
  <c r="B138" i="2"/>
  <c r="B53" i="2"/>
  <c r="B23" i="2"/>
  <c r="B119" i="2"/>
  <c r="B199" i="2"/>
  <c r="B39" i="2"/>
  <c r="B109" i="2"/>
  <c r="B164" i="2"/>
  <c r="B40" i="2"/>
  <c r="B59" i="2"/>
  <c r="B56" i="2"/>
  <c r="B31" i="2"/>
  <c r="B125" i="2"/>
  <c r="B198" i="2"/>
  <c r="B73" i="2"/>
  <c r="B149" i="2"/>
  <c r="B195" i="2"/>
  <c r="B177" i="2"/>
  <c r="B161" i="2"/>
  <c r="B60" i="2"/>
  <c r="B187" i="2"/>
  <c r="B128" i="2"/>
  <c r="B160" i="2"/>
  <c r="B189" i="2"/>
  <c r="B102" i="2"/>
  <c r="B6" i="2"/>
  <c r="B178" i="2"/>
  <c r="B86" i="2"/>
  <c r="B4" i="2"/>
  <c r="B143" i="2"/>
  <c r="B72" i="2"/>
  <c r="B106" i="2"/>
  <c r="B182" i="2"/>
  <c r="B134" i="2"/>
  <c r="B92" i="2"/>
  <c r="B28" i="2"/>
  <c r="B105" i="2"/>
  <c r="B123" i="2"/>
  <c r="B11" i="2"/>
  <c r="B175" i="2"/>
  <c r="B158" i="2"/>
  <c r="B137" i="2"/>
  <c r="B36" i="2"/>
  <c r="B201" i="2"/>
  <c r="B16" i="2"/>
  <c r="B155" i="2"/>
  <c r="B152" i="2"/>
  <c r="B147" i="2"/>
  <c r="B188" i="2"/>
  <c r="B180" i="2"/>
  <c r="B8" i="2"/>
  <c r="B183" i="2"/>
  <c r="B110" i="2"/>
  <c r="B41" i="2"/>
  <c r="B10" i="2"/>
  <c r="B139" i="2"/>
  <c r="B69" i="2"/>
  <c r="B144" i="2"/>
  <c r="B30" i="2"/>
  <c r="B94" i="2"/>
  <c r="B108" i="2"/>
  <c r="B38" i="2"/>
  <c r="B113" i="2"/>
  <c r="B19" i="2"/>
  <c r="B116" i="2"/>
  <c r="B34" i="2"/>
  <c r="B80" i="2"/>
  <c r="B90" i="2"/>
  <c r="B191" i="2"/>
  <c r="B95" i="2"/>
  <c r="B88" i="2"/>
  <c r="B57" i="2"/>
  <c r="B91" i="2"/>
  <c r="A81" i="2"/>
  <c r="A2" i="2"/>
  <c r="A197" i="2"/>
  <c r="A75" i="2"/>
  <c r="A132" i="2"/>
  <c r="A153" i="2"/>
  <c r="A48" i="2"/>
  <c r="A62" i="2"/>
  <c r="A121" i="2"/>
  <c r="A43" i="2"/>
  <c r="A184" i="2"/>
  <c r="A174" i="2"/>
  <c r="A118" i="2"/>
  <c r="A26" i="2"/>
  <c r="A79" i="2"/>
  <c r="A104" i="2"/>
  <c r="A84" i="2"/>
  <c r="A107" i="2"/>
  <c r="A170" i="2"/>
  <c r="A126" i="2"/>
  <c r="A146" i="2"/>
  <c r="A47" i="2"/>
  <c r="A76" i="2"/>
  <c r="A101" i="2"/>
  <c r="A173" i="2"/>
  <c r="A44" i="2"/>
  <c r="A166" i="2"/>
  <c r="A196" i="2"/>
  <c r="A140" i="2"/>
  <c r="A168" i="2"/>
  <c r="A151" i="2"/>
  <c r="A96" i="2"/>
  <c r="A154" i="2"/>
  <c r="A5" i="2"/>
  <c r="A192" i="2"/>
  <c r="A74" i="2"/>
  <c r="A112" i="2"/>
  <c r="A83" i="2"/>
  <c r="A185" i="2"/>
  <c r="A194" i="2"/>
  <c r="A167" i="2"/>
  <c r="A77" i="2"/>
  <c r="A21" i="2"/>
  <c r="A129" i="2"/>
  <c r="A186" i="2"/>
  <c r="A156" i="2"/>
  <c r="A67" i="2"/>
  <c r="A162" i="2"/>
  <c r="A71" i="2"/>
  <c r="A181" i="2"/>
  <c r="A111" i="2"/>
  <c r="A51" i="2"/>
  <c r="A85" i="2"/>
  <c r="A117" i="2"/>
  <c r="A179" i="2"/>
  <c r="A99" i="2"/>
  <c r="A193" i="2"/>
  <c r="A131" i="2"/>
  <c r="A24" i="2"/>
  <c r="A14" i="2"/>
  <c r="A176" i="2"/>
  <c r="A122" i="2"/>
  <c r="A68" i="2"/>
  <c r="A7" i="2"/>
  <c r="A114" i="2"/>
  <c r="A142" i="2"/>
  <c r="A169" i="2"/>
  <c r="A64" i="2"/>
  <c r="A29" i="2"/>
  <c r="A172" i="2"/>
  <c r="A3" i="2"/>
  <c r="A35" i="2"/>
  <c r="A61" i="2"/>
  <c r="A148" i="2"/>
  <c r="A63" i="2"/>
  <c r="A89" i="2"/>
  <c r="A145" i="2"/>
  <c r="A25" i="2"/>
  <c r="A157" i="2"/>
  <c r="A124" i="2"/>
  <c r="A27" i="2"/>
  <c r="A127" i="2"/>
  <c r="A159" i="2"/>
  <c r="A78" i="2"/>
  <c r="A136" i="2"/>
  <c r="A22" i="2"/>
  <c r="A87" i="2"/>
  <c r="A15" i="2"/>
  <c r="A13" i="2"/>
  <c r="A50" i="2"/>
  <c r="A70" i="2"/>
  <c r="A49" i="2"/>
  <c r="A190" i="2"/>
  <c r="A97" i="2"/>
  <c r="A103" i="2"/>
  <c r="A45" i="2"/>
  <c r="A141" i="2"/>
  <c r="A18" i="2"/>
  <c r="A17" i="2"/>
  <c r="A138" i="2"/>
  <c r="A53" i="2"/>
  <c r="A23" i="2"/>
  <c r="A119" i="2"/>
  <c r="A199" i="2"/>
  <c r="A39" i="2"/>
  <c r="A109" i="2"/>
  <c r="A164" i="2"/>
  <c r="A40" i="2"/>
  <c r="A59" i="2"/>
  <c r="A56" i="2"/>
  <c r="A31" i="2"/>
  <c r="A125" i="2"/>
  <c r="A198" i="2"/>
  <c r="A73" i="2"/>
  <c r="A149" i="2"/>
  <c r="A195" i="2"/>
  <c r="A177" i="2"/>
  <c r="A161" i="2"/>
  <c r="A60" i="2"/>
  <c r="A187" i="2"/>
  <c r="A128" i="2"/>
  <c r="A160" i="2"/>
  <c r="A189" i="2"/>
  <c r="A102" i="2"/>
  <c r="A6" i="2"/>
  <c r="A178" i="2"/>
  <c r="A86" i="2"/>
  <c r="A4" i="2"/>
  <c r="A143" i="2"/>
  <c r="A72" i="2"/>
  <c r="A106" i="2"/>
  <c r="A182" i="2"/>
  <c r="A134" i="2"/>
  <c r="A92" i="2"/>
  <c r="A28" i="2"/>
  <c r="A105" i="2"/>
  <c r="A123" i="2"/>
  <c r="A11" i="2"/>
  <c r="A175" i="2"/>
  <c r="A158" i="2"/>
  <c r="A137" i="2"/>
  <c r="A36" i="2"/>
  <c r="A201" i="2"/>
  <c r="A16" i="2"/>
  <c r="A155" i="2"/>
  <c r="A152" i="2"/>
  <c r="A147" i="2"/>
  <c r="A188" i="2"/>
  <c r="A180" i="2"/>
  <c r="A8" i="2"/>
  <c r="A183" i="2"/>
  <c r="A110" i="2"/>
  <c r="A41" i="2"/>
  <c r="A10" i="2"/>
  <c r="A139" i="2"/>
  <c r="A69" i="2"/>
  <c r="A144" i="2"/>
  <c r="A30" i="2"/>
  <c r="A94" i="2"/>
  <c r="A108" i="2"/>
  <c r="A38" i="2"/>
  <c r="A113" i="2"/>
  <c r="A19" i="2"/>
  <c r="A116" i="2"/>
  <c r="A34" i="2"/>
  <c r="A80" i="2"/>
  <c r="A90" i="2"/>
  <c r="A191" i="2"/>
  <c r="A95" i="2"/>
  <c r="A88" i="2"/>
  <c r="A57" i="2"/>
  <c r="A9" i="2"/>
  <c r="A165" i="2"/>
  <c r="A100" i="2"/>
  <c r="A133" i="2"/>
  <c r="A32" i="2"/>
  <c r="A135" i="2"/>
  <c r="A33" i="2"/>
  <c r="A20" i="2"/>
  <c r="A58" i="2"/>
  <c r="A37" i="2"/>
  <c r="A46" i="2"/>
  <c r="A98" i="2"/>
  <c r="A150" i="2"/>
  <c r="A163" i="2"/>
  <c r="A82" i="2"/>
  <c r="A130" i="2"/>
  <c r="A65" i="2"/>
  <c r="A66" i="2"/>
  <c r="A12" i="2"/>
  <c r="A200" i="2"/>
  <c r="A120" i="2"/>
  <c r="A55" i="2"/>
  <c r="A171" i="2"/>
  <c r="A54" i="2"/>
  <c r="A42" i="2"/>
  <c r="A93" i="2"/>
  <c r="A115" i="2"/>
  <c r="A52" i="2"/>
  <c r="A91" i="2"/>
  <c r="M5" i="4" l="1"/>
  <c r="N3" i="3"/>
  <c r="M4" i="4"/>
  <c r="N5" i="5"/>
  <c r="K200" i="3"/>
  <c r="F200" i="3"/>
  <c r="J200" i="3" s="1"/>
  <c r="K192" i="3"/>
  <c r="F192" i="3"/>
  <c r="J192" i="3" s="1"/>
  <c r="K184" i="3"/>
  <c r="F184" i="3"/>
  <c r="J184" i="3" s="1"/>
  <c r="K176" i="3"/>
  <c r="F176" i="3"/>
  <c r="J176" i="3" s="1"/>
  <c r="K168" i="3"/>
  <c r="F168" i="3"/>
  <c r="J168" i="3" s="1"/>
  <c r="K160" i="3"/>
  <c r="F160" i="3"/>
  <c r="J160" i="3" s="1"/>
  <c r="K152" i="3"/>
  <c r="F152" i="3"/>
  <c r="J152" i="3" s="1"/>
  <c r="K144" i="3"/>
  <c r="F144" i="3"/>
  <c r="J144" i="3" s="1"/>
  <c r="K136" i="3"/>
  <c r="F136" i="3"/>
  <c r="J136" i="3" s="1"/>
  <c r="K128" i="3"/>
  <c r="F128" i="3"/>
  <c r="J128" i="3" s="1"/>
  <c r="K120" i="3"/>
  <c r="F120" i="3"/>
  <c r="J120" i="3" s="1"/>
  <c r="K112" i="3"/>
  <c r="F112" i="3"/>
  <c r="J112" i="3" s="1"/>
  <c r="K104" i="3"/>
  <c r="F104" i="3"/>
  <c r="J104" i="3" s="1"/>
  <c r="K96" i="3"/>
  <c r="F96" i="3"/>
  <c r="J96" i="3" s="1"/>
  <c r="K88" i="3"/>
  <c r="F88" i="3"/>
  <c r="J88" i="3" s="1"/>
  <c r="K80" i="3"/>
  <c r="F80" i="3"/>
  <c r="J80" i="3" s="1"/>
  <c r="K72" i="3"/>
  <c r="F72" i="3"/>
  <c r="J72" i="3" s="1"/>
  <c r="K64" i="3"/>
  <c r="F64" i="3"/>
  <c r="J64" i="3" s="1"/>
  <c r="K56" i="3"/>
  <c r="F56" i="3"/>
  <c r="J56" i="3" s="1"/>
  <c r="K48" i="3"/>
  <c r="F48" i="3"/>
  <c r="J48" i="3" s="1"/>
  <c r="K40" i="3"/>
  <c r="F40" i="3"/>
  <c r="J40" i="3" s="1"/>
  <c r="K32" i="3"/>
  <c r="F32" i="3"/>
  <c r="J32" i="3" s="1"/>
  <c r="K24" i="3"/>
  <c r="F24" i="3"/>
  <c r="J24" i="3" s="1"/>
  <c r="K16" i="3"/>
  <c r="F16" i="3"/>
  <c r="J16" i="3" s="1"/>
  <c r="K8" i="3"/>
  <c r="F8" i="3"/>
  <c r="J8" i="3" s="1"/>
  <c r="I200" i="3"/>
  <c r="I192" i="3"/>
  <c r="I168" i="3"/>
  <c r="I136" i="3"/>
  <c r="I128" i="3"/>
  <c r="I104" i="3"/>
  <c r="I80" i="3"/>
  <c r="I72" i="3"/>
  <c r="I40" i="3"/>
  <c r="I16" i="3"/>
  <c r="I8" i="3"/>
  <c r="K151" i="3"/>
  <c r="F151" i="3"/>
  <c r="J151" i="3" s="1"/>
  <c r="F47" i="3"/>
  <c r="J47" i="3" s="1"/>
  <c r="K47" i="3"/>
  <c r="K198" i="3"/>
  <c r="F198" i="3"/>
  <c r="J198" i="3" s="1"/>
  <c r="K190" i="3"/>
  <c r="F190" i="3"/>
  <c r="J190" i="3" s="1"/>
  <c r="K182" i="3"/>
  <c r="F182" i="3"/>
  <c r="J182" i="3" s="1"/>
  <c r="K174" i="3"/>
  <c r="F174" i="3"/>
  <c r="J174" i="3" s="1"/>
  <c r="K166" i="3"/>
  <c r="F166" i="3"/>
  <c r="J166" i="3" s="1"/>
  <c r="K158" i="3"/>
  <c r="F158" i="3"/>
  <c r="J158" i="3" s="1"/>
  <c r="K150" i="3"/>
  <c r="F150" i="3"/>
  <c r="J150" i="3" s="1"/>
  <c r="K142" i="3"/>
  <c r="F142" i="3"/>
  <c r="J142" i="3" s="1"/>
  <c r="K134" i="3"/>
  <c r="F134" i="3"/>
  <c r="J134" i="3" s="1"/>
  <c r="K126" i="3"/>
  <c r="F126" i="3"/>
  <c r="J126" i="3" s="1"/>
  <c r="K118" i="3"/>
  <c r="F118" i="3"/>
  <c r="J118" i="3" s="1"/>
  <c r="K110" i="3"/>
  <c r="F110" i="3"/>
  <c r="J110" i="3" s="1"/>
  <c r="K102" i="3"/>
  <c r="F102" i="3"/>
  <c r="J102" i="3" s="1"/>
  <c r="K94" i="3"/>
  <c r="F94" i="3"/>
  <c r="J94" i="3" s="1"/>
  <c r="K86" i="3"/>
  <c r="F86" i="3"/>
  <c r="J86" i="3" s="1"/>
  <c r="K78" i="3"/>
  <c r="F78" i="3"/>
  <c r="J78" i="3" s="1"/>
  <c r="K70" i="3"/>
  <c r="F70" i="3"/>
  <c r="J70" i="3" s="1"/>
  <c r="K62" i="3"/>
  <c r="F62" i="3"/>
  <c r="J62" i="3" s="1"/>
  <c r="K54" i="3"/>
  <c r="F54" i="3"/>
  <c r="J54" i="3" s="1"/>
  <c r="K46" i="3"/>
  <c r="F46" i="3"/>
  <c r="J46" i="3" s="1"/>
  <c r="K38" i="3"/>
  <c r="F38" i="3"/>
  <c r="J38" i="3" s="1"/>
  <c r="K30" i="3"/>
  <c r="F30" i="3"/>
  <c r="J30" i="3" s="1"/>
  <c r="K22" i="3"/>
  <c r="F22" i="3"/>
  <c r="J22" i="3" s="1"/>
  <c r="K14" i="3"/>
  <c r="F14" i="3"/>
  <c r="J14" i="3" s="1"/>
  <c r="K6" i="3"/>
  <c r="F6" i="3"/>
  <c r="J6" i="3" s="1"/>
  <c r="I198" i="3"/>
  <c r="I190" i="3"/>
  <c r="I174" i="3"/>
  <c r="I158" i="3"/>
  <c r="I142" i="3"/>
  <c r="I134" i="3"/>
  <c r="I126" i="3"/>
  <c r="I94" i="3"/>
  <c r="I86" i="3"/>
  <c r="I78" i="3"/>
  <c r="I62" i="3"/>
  <c r="I30" i="3"/>
  <c r="I14" i="3"/>
  <c r="I6" i="3"/>
  <c r="N3" i="4"/>
  <c r="F175" i="3"/>
  <c r="J175" i="3" s="1"/>
  <c r="K175" i="3"/>
  <c r="K119" i="3"/>
  <c r="F119" i="3"/>
  <c r="J119" i="3" s="1"/>
  <c r="K71" i="3"/>
  <c r="F71" i="3"/>
  <c r="J71" i="3" s="1"/>
  <c r="F15" i="3"/>
  <c r="J15" i="3" s="1"/>
  <c r="K15" i="3"/>
  <c r="I175" i="3"/>
  <c r="F197" i="3"/>
  <c r="J197" i="3" s="1"/>
  <c r="K197" i="3"/>
  <c r="K189" i="3"/>
  <c r="F189" i="3"/>
  <c r="J189" i="3" s="1"/>
  <c r="K181" i="3"/>
  <c r="F181" i="3"/>
  <c r="J181" i="3" s="1"/>
  <c r="K173" i="3"/>
  <c r="F173" i="3"/>
  <c r="J173" i="3" s="1"/>
  <c r="F165" i="3"/>
  <c r="J165" i="3" s="1"/>
  <c r="K165" i="3"/>
  <c r="K157" i="3"/>
  <c r="F157" i="3"/>
  <c r="J157" i="3" s="1"/>
  <c r="K149" i="3"/>
  <c r="F149" i="3"/>
  <c r="J149" i="3" s="1"/>
  <c r="K141" i="3"/>
  <c r="F141" i="3"/>
  <c r="J141" i="3" s="1"/>
  <c r="F133" i="3"/>
  <c r="J133" i="3" s="1"/>
  <c r="K133" i="3"/>
  <c r="F125" i="3"/>
  <c r="J125" i="3" s="1"/>
  <c r="K125" i="3"/>
  <c r="K117" i="3"/>
  <c r="F117" i="3"/>
  <c r="J117" i="3" s="1"/>
  <c r="K109" i="3"/>
  <c r="F109" i="3"/>
  <c r="J109" i="3" s="1"/>
  <c r="F101" i="3"/>
  <c r="J101" i="3" s="1"/>
  <c r="K101" i="3"/>
  <c r="K93" i="3"/>
  <c r="F93" i="3"/>
  <c r="J93" i="3" s="1"/>
  <c r="K85" i="3"/>
  <c r="F85" i="3"/>
  <c r="J85" i="3" s="1"/>
  <c r="K77" i="3"/>
  <c r="F77" i="3"/>
  <c r="J77" i="3" s="1"/>
  <c r="F69" i="3"/>
  <c r="J69" i="3" s="1"/>
  <c r="K69" i="3"/>
  <c r="F61" i="3"/>
  <c r="J61" i="3" s="1"/>
  <c r="K61" i="3"/>
  <c r="K53" i="3"/>
  <c r="F53" i="3"/>
  <c r="J53" i="3" s="1"/>
  <c r="K45" i="3"/>
  <c r="F45" i="3"/>
  <c r="J45" i="3" s="1"/>
  <c r="F37" i="3"/>
  <c r="J37" i="3" s="1"/>
  <c r="K37" i="3"/>
  <c r="K29" i="3"/>
  <c r="F29" i="3"/>
  <c r="J29" i="3" s="1"/>
  <c r="K21" i="3"/>
  <c r="F21" i="3"/>
  <c r="J21" i="3" s="1"/>
  <c r="F13" i="3"/>
  <c r="J13" i="3" s="1"/>
  <c r="K13" i="3"/>
  <c r="F5" i="3"/>
  <c r="J5" i="3" s="1"/>
  <c r="K5" i="3"/>
  <c r="N4" i="3" s="1"/>
  <c r="I197" i="3"/>
  <c r="I189" i="3"/>
  <c r="I149" i="3"/>
  <c r="I141" i="3"/>
  <c r="I133" i="3"/>
  <c r="I117" i="3"/>
  <c r="I85" i="3"/>
  <c r="I77" i="3"/>
  <c r="I69" i="3"/>
  <c r="I5" i="3"/>
  <c r="N5" i="4"/>
  <c r="K183" i="3"/>
  <c r="F183" i="3"/>
  <c r="J183" i="3" s="1"/>
  <c r="K167" i="3"/>
  <c r="F167" i="3"/>
  <c r="J167" i="3" s="1"/>
  <c r="K127" i="3"/>
  <c r="F127" i="3"/>
  <c r="J127" i="3" s="1"/>
  <c r="F111" i="3"/>
  <c r="J111" i="3" s="1"/>
  <c r="K111" i="3"/>
  <c r="K95" i="3"/>
  <c r="F95" i="3"/>
  <c r="J95" i="3" s="1"/>
  <c r="K63" i="3"/>
  <c r="F63" i="3"/>
  <c r="J63" i="3" s="1"/>
  <c r="F39" i="3"/>
  <c r="J39" i="3" s="1"/>
  <c r="K39" i="3"/>
  <c r="K7" i="3"/>
  <c r="F7" i="3"/>
  <c r="J7" i="3" s="1"/>
  <c r="F196" i="3"/>
  <c r="J196" i="3" s="1"/>
  <c r="K196" i="3"/>
  <c r="K188" i="3"/>
  <c r="F188" i="3"/>
  <c r="J188" i="3" s="1"/>
  <c r="F180" i="3"/>
  <c r="J180" i="3" s="1"/>
  <c r="K180" i="3"/>
  <c r="K172" i="3"/>
  <c r="F172" i="3"/>
  <c r="J172" i="3" s="1"/>
  <c r="F164" i="3"/>
  <c r="J164" i="3" s="1"/>
  <c r="K164" i="3"/>
  <c r="K156" i="3"/>
  <c r="F156" i="3"/>
  <c r="J156" i="3" s="1"/>
  <c r="F148" i="3"/>
  <c r="J148" i="3" s="1"/>
  <c r="K148" i="3"/>
  <c r="K140" i="3"/>
  <c r="F140" i="3"/>
  <c r="J140" i="3" s="1"/>
  <c r="F132" i="3"/>
  <c r="J132" i="3" s="1"/>
  <c r="K132" i="3"/>
  <c r="K124" i="3"/>
  <c r="F124" i="3"/>
  <c r="J124" i="3" s="1"/>
  <c r="K116" i="3"/>
  <c r="F116" i="3"/>
  <c r="J116" i="3" s="1"/>
  <c r="K108" i="3"/>
  <c r="F108" i="3"/>
  <c r="J108" i="3" s="1"/>
  <c r="F100" i="3"/>
  <c r="J100" i="3" s="1"/>
  <c r="K100" i="3"/>
  <c r="K92" i="3"/>
  <c r="F92" i="3"/>
  <c r="J92" i="3" s="1"/>
  <c r="F84" i="3"/>
  <c r="J84" i="3" s="1"/>
  <c r="K84" i="3"/>
  <c r="K76" i="3"/>
  <c r="F76" i="3"/>
  <c r="J76" i="3" s="1"/>
  <c r="F68" i="3"/>
  <c r="J68" i="3" s="1"/>
  <c r="K68" i="3"/>
  <c r="F60" i="3"/>
  <c r="J60" i="3" s="1"/>
  <c r="K60" i="3"/>
  <c r="K52" i="3"/>
  <c r="F52" i="3"/>
  <c r="J52" i="3" s="1"/>
  <c r="K44" i="3"/>
  <c r="F44" i="3"/>
  <c r="J44" i="3" s="1"/>
  <c r="F36" i="3"/>
  <c r="J36" i="3" s="1"/>
  <c r="K36" i="3"/>
  <c r="K28" i="3"/>
  <c r="F28" i="3"/>
  <c r="J28" i="3" s="1"/>
  <c r="F20" i="3"/>
  <c r="J20" i="3" s="1"/>
  <c r="K20" i="3"/>
  <c r="K12" i="3"/>
  <c r="F12" i="3"/>
  <c r="J12" i="3" s="1"/>
  <c r="F4" i="3"/>
  <c r="J4" i="3" s="1"/>
  <c r="K4" i="3"/>
  <c r="I196" i="3"/>
  <c r="I188" i="3"/>
  <c r="I180" i="3"/>
  <c r="I164" i="3"/>
  <c r="I156" i="3"/>
  <c r="I132" i="3"/>
  <c r="I116" i="3"/>
  <c r="I100" i="3"/>
  <c r="I92" i="3"/>
  <c r="I68" i="3"/>
  <c r="I52" i="3"/>
  <c r="I36" i="3"/>
  <c r="N4" i="4"/>
  <c r="K159" i="3"/>
  <c r="F159" i="3"/>
  <c r="J159" i="3" s="1"/>
  <c r="F103" i="3"/>
  <c r="J103" i="3" s="1"/>
  <c r="K103" i="3"/>
  <c r="F55" i="3"/>
  <c r="J55" i="3" s="1"/>
  <c r="K55" i="3"/>
  <c r="I127" i="3"/>
  <c r="I95" i="3"/>
  <c r="I63" i="3"/>
  <c r="K195" i="3"/>
  <c r="F195" i="3"/>
  <c r="J195" i="3" s="1"/>
  <c r="K187" i="3"/>
  <c r="F187" i="3"/>
  <c r="J187" i="3" s="1"/>
  <c r="K179" i="3"/>
  <c r="F179" i="3"/>
  <c r="J179" i="3" s="1"/>
  <c r="K171" i="3"/>
  <c r="F171" i="3"/>
  <c r="J171" i="3" s="1"/>
  <c r="K163" i="3"/>
  <c r="F163" i="3"/>
  <c r="J163" i="3" s="1"/>
  <c r="K155" i="3"/>
  <c r="F155" i="3"/>
  <c r="J155" i="3" s="1"/>
  <c r="K147" i="3"/>
  <c r="F147" i="3"/>
  <c r="J147" i="3" s="1"/>
  <c r="K139" i="3"/>
  <c r="F139" i="3"/>
  <c r="J139" i="3" s="1"/>
  <c r="K131" i="3"/>
  <c r="F131" i="3"/>
  <c r="J131" i="3" s="1"/>
  <c r="K123" i="3"/>
  <c r="F123" i="3"/>
  <c r="J123" i="3" s="1"/>
  <c r="K115" i="3"/>
  <c r="F115" i="3"/>
  <c r="J115" i="3" s="1"/>
  <c r="K107" i="3"/>
  <c r="F107" i="3"/>
  <c r="J107" i="3" s="1"/>
  <c r="K99" i="3"/>
  <c r="F99" i="3"/>
  <c r="J99" i="3" s="1"/>
  <c r="K91" i="3"/>
  <c r="F91" i="3"/>
  <c r="J91" i="3" s="1"/>
  <c r="K83" i="3"/>
  <c r="F83" i="3"/>
  <c r="J83" i="3" s="1"/>
  <c r="K75" i="3"/>
  <c r="F75" i="3"/>
  <c r="J75" i="3" s="1"/>
  <c r="K67" i="3"/>
  <c r="F67" i="3"/>
  <c r="J67" i="3" s="1"/>
  <c r="K59" i="3"/>
  <c r="F59" i="3"/>
  <c r="J59" i="3" s="1"/>
  <c r="K51" i="3"/>
  <c r="F51" i="3"/>
  <c r="J51" i="3" s="1"/>
  <c r="K43" i="3"/>
  <c r="F43" i="3"/>
  <c r="J43" i="3" s="1"/>
  <c r="K35" i="3"/>
  <c r="F35" i="3"/>
  <c r="J35" i="3" s="1"/>
  <c r="K27" i="3"/>
  <c r="F27" i="3"/>
  <c r="J27" i="3" s="1"/>
  <c r="K19" i="3"/>
  <c r="F19" i="3"/>
  <c r="J19" i="3" s="1"/>
  <c r="K11" i="3"/>
  <c r="F11" i="3"/>
  <c r="J11" i="3" s="1"/>
  <c r="K3" i="3"/>
  <c r="F3" i="3"/>
  <c r="J3" i="3" s="1"/>
  <c r="I195" i="3"/>
  <c r="I187" i="3"/>
  <c r="I163" i="3"/>
  <c r="I147" i="3"/>
  <c r="I131" i="3"/>
  <c r="I99" i="3"/>
  <c r="I83" i="3"/>
  <c r="I67" i="3"/>
  <c r="I35" i="3"/>
  <c r="I3" i="3"/>
  <c r="M3" i="4"/>
  <c r="M6" i="4" s="1"/>
  <c r="K199" i="3"/>
  <c r="F199" i="3"/>
  <c r="J199" i="3" s="1"/>
  <c r="F143" i="3"/>
  <c r="J143" i="3" s="1"/>
  <c r="K143" i="3"/>
  <c r="F79" i="3"/>
  <c r="J79" i="3" s="1"/>
  <c r="K79" i="3"/>
  <c r="K23" i="3"/>
  <c r="F23" i="3"/>
  <c r="J23" i="3" s="1"/>
  <c r="I183" i="3"/>
  <c r="I71" i="3"/>
  <c r="F2" i="3"/>
  <c r="J2" i="3" s="1"/>
  <c r="K2" i="3"/>
  <c r="F194" i="3"/>
  <c r="J194" i="3" s="1"/>
  <c r="K194" i="3"/>
  <c r="F186" i="3"/>
  <c r="J186" i="3" s="1"/>
  <c r="K186" i="3"/>
  <c r="F178" i="3"/>
  <c r="J178" i="3" s="1"/>
  <c r="K178" i="3"/>
  <c r="F170" i="3"/>
  <c r="J170" i="3" s="1"/>
  <c r="K170" i="3"/>
  <c r="F162" i="3"/>
  <c r="J162" i="3" s="1"/>
  <c r="K162" i="3"/>
  <c r="F154" i="3"/>
  <c r="J154" i="3" s="1"/>
  <c r="K154" i="3"/>
  <c r="F146" i="3"/>
  <c r="J146" i="3" s="1"/>
  <c r="K146" i="3"/>
  <c r="F138" i="3"/>
  <c r="J138" i="3" s="1"/>
  <c r="K138" i="3"/>
  <c r="F130" i="3"/>
  <c r="J130" i="3" s="1"/>
  <c r="K130" i="3"/>
  <c r="F122" i="3"/>
  <c r="J122" i="3" s="1"/>
  <c r="K122" i="3"/>
  <c r="F114" i="3"/>
  <c r="J114" i="3" s="1"/>
  <c r="K114" i="3"/>
  <c r="F106" i="3"/>
  <c r="J106" i="3" s="1"/>
  <c r="K106" i="3"/>
  <c r="F98" i="3"/>
  <c r="J98" i="3" s="1"/>
  <c r="K98" i="3"/>
  <c r="F90" i="3"/>
  <c r="J90" i="3" s="1"/>
  <c r="K90" i="3"/>
  <c r="F82" i="3"/>
  <c r="J82" i="3" s="1"/>
  <c r="K82" i="3"/>
  <c r="F74" i="3"/>
  <c r="J74" i="3" s="1"/>
  <c r="K74" i="3"/>
  <c r="F66" i="3"/>
  <c r="J66" i="3" s="1"/>
  <c r="K66" i="3"/>
  <c r="F58" i="3"/>
  <c r="J58" i="3" s="1"/>
  <c r="K58" i="3"/>
  <c r="F50" i="3"/>
  <c r="J50" i="3" s="1"/>
  <c r="K50" i="3"/>
  <c r="F42" i="3"/>
  <c r="J42" i="3" s="1"/>
  <c r="K42" i="3"/>
  <c r="F34" i="3"/>
  <c r="J34" i="3" s="1"/>
  <c r="K34" i="3"/>
  <c r="F26" i="3"/>
  <c r="J26" i="3" s="1"/>
  <c r="K26" i="3"/>
  <c r="F18" i="3"/>
  <c r="J18" i="3" s="1"/>
  <c r="K18" i="3"/>
  <c r="F10" i="3"/>
  <c r="J10" i="3" s="1"/>
  <c r="K10" i="3"/>
  <c r="I178" i="3"/>
  <c r="I114" i="3"/>
  <c r="I50" i="3"/>
  <c r="I4" i="3"/>
  <c r="K191" i="3"/>
  <c r="F191" i="3"/>
  <c r="J191" i="3" s="1"/>
  <c r="K135" i="3"/>
  <c r="F135" i="3"/>
  <c r="J135" i="3" s="1"/>
  <c r="K87" i="3"/>
  <c r="F87" i="3"/>
  <c r="J87" i="3" s="1"/>
  <c r="K31" i="3"/>
  <c r="F31" i="3"/>
  <c r="J31" i="3" s="1"/>
  <c r="I159" i="3"/>
  <c r="K201" i="3"/>
  <c r="F201" i="3"/>
  <c r="J201" i="3" s="1"/>
  <c r="K193" i="3"/>
  <c r="F193" i="3"/>
  <c r="J193" i="3" s="1"/>
  <c r="K185" i="3"/>
  <c r="F185" i="3"/>
  <c r="J185" i="3" s="1"/>
  <c r="K177" i="3"/>
  <c r="F177" i="3"/>
  <c r="J177" i="3" s="1"/>
  <c r="K169" i="3"/>
  <c r="F169" i="3"/>
  <c r="J169" i="3" s="1"/>
  <c r="K161" i="3"/>
  <c r="F161" i="3"/>
  <c r="J161" i="3" s="1"/>
  <c r="K153" i="3"/>
  <c r="F153" i="3"/>
  <c r="J153" i="3" s="1"/>
  <c r="K145" i="3"/>
  <c r="F145" i="3"/>
  <c r="J145" i="3" s="1"/>
  <c r="K137" i="3"/>
  <c r="F137" i="3"/>
  <c r="J137" i="3" s="1"/>
  <c r="K129" i="3"/>
  <c r="F129" i="3"/>
  <c r="J129" i="3" s="1"/>
  <c r="K121" i="3"/>
  <c r="F121" i="3"/>
  <c r="J121" i="3" s="1"/>
  <c r="K113" i="3"/>
  <c r="F113" i="3"/>
  <c r="J113" i="3" s="1"/>
  <c r="K105" i="3"/>
  <c r="F105" i="3"/>
  <c r="J105" i="3" s="1"/>
  <c r="K97" i="3"/>
  <c r="F97" i="3"/>
  <c r="J97" i="3" s="1"/>
  <c r="K89" i="3"/>
  <c r="F89" i="3"/>
  <c r="J89" i="3" s="1"/>
  <c r="K81" i="3"/>
  <c r="F81" i="3"/>
  <c r="J81" i="3" s="1"/>
  <c r="K73" i="3"/>
  <c r="F73" i="3"/>
  <c r="J73" i="3" s="1"/>
  <c r="K65" i="3"/>
  <c r="F65" i="3"/>
  <c r="J65" i="3" s="1"/>
  <c r="K57" i="3"/>
  <c r="F57" i="3"/>
  <c r="J57" i="3" s="1"/>
  <c r="K49" i="3"/>
  <c r="F49" i="3"/>
  <c r="J49" i="3" s="1"/>
  <c r="K41" i="3"/>
  <c r="F41" i="3"/>
  <c r="J41" i="3" s="1"/>
  <c r="K33" i="3"/>
  <c r="F33" i="3"/>
  <c r="J33" i="3" s="1"/>
  <c r="K25" i="3"/>
  <c r="F25" i="3"/>
  <c r="J25" i="3" s="1"/>
  <c r="K17" i="3"/>
  <c r="F17" i="3"/>
  <c r="J17" i="3" s="1"/>
  <c r="K9" i="3"/>
  <c r="F9" i="3"/>
  <c r="J9" i="3" s="1"/>
  <c r="I201" i="3"/>
  <c r="I193" i="3"/>
  <c r="I137" i="3"/>
  <c r="I113" i="3"/>
  <c r="I105" i="3"/>
  <c r="I73" i="3"/>
  <c r="I65" i="3"/>
  <c r="I41" i="3"/>
  <c r="I17" i="3"/>
  <c r="I9" i="3"/>
  <c r="I58" i="3" l="1"/>
  <c r="I186" i="3"/>
  <c r="I27" i="3"/>
  <c r="I53" i="3"/>
  <c r="I176" i="3"/>
  <c r="I129" i="3"/>
  <c r="I10" i="3"/>
  <c r="I138" i="3"/>
  <c r="I119" i="3"/>
  <c r="I59" i="3"/>
  <c r="I181" i="3"/>
  <c r="I182" i="3"/>
  <c r="I122" i="3"/>
  <c r="I61" i="3"/>
  <c r="I155" i="3"/>
  <c r="I49" i="3"/>
  <c r="I177" i="3"/>
  <c r="I18" i="3"/>
  <c r="I146" i="3"/>
  <c r="I151" i="3"/>
  <c r="I167" i="3"/>
  <c r="I28" i="3"/>
  <c r="I124" i="3"/>
  <c r="I22" i="3"/>
  <c r="I118" i="3"/>
  <c r="I112" i="3"/>
  <c r="I81" i="3"/>
  <c r="I74" i="3"/>
  <c r="I2" i="3"/>
  <c r="I60" i="3"/>
  <c r="I13" i="3"/>
  <c r="I125" i="3"/>
  <c r="I48" i="3"/>
  <c r="I144" i="3"/>
  <c r="I91" i="3"/>
  <c r="I54" i="3"/>
  <c r="I82" i="3"/>
  <c r="I19" i="3"/>
  <c r="I123" i="3"/>
  <c r="N5" i="3"/>
  <c r="I21" i="3"/>
  <c r="I70" i="3"/>
  <c r="I150" i="3"/>
  <c r="I64" i="3"/>
  <c r="N6" i="4"/>
  <c r="I57" i="3"/>
  <c r="I121" i="3"/>
  <c r="I66" i="3"/>
  <c r="I130" i="3"/>
  <c r="I194" i="3"/>
  <c r="I31" i="3"/>
  <c r="I44" i="3"/>
  <c r="I108" i="3"/>
  <c r="I172" i="3"/>
  <c r="I56" i="3"/>
  <c r="I120" i="3"/>
  <c r="I184" i="3"/>
  <c r="I7" i="3"/>
  <c r="I43" i="3"/>
  <c r="I107" i="3"/>
  <c r="I171" i="3"/>
  <c r="J5" i="5"/>
  <c r="I51" i="3"/>
  <c r="I115" i="3"/>
  <c r="I179" i="3"/>
  <c r="I29" i="3"/>
  <c r="I93" i="3"/>
  <c r="I157" i="3"/>
  <c r="I47" i="3"/>
  <c r="I39" i="3"/>
  <c r="I79" i="3"/>
  <c r="I37" i="3"/>
  <c r="I101" i="3"/>
  <c r="I165" i="3"/>
  <c r="I103" i="3"/>
  <c r="I38" i="3"/>
  <c r="I102" i="3"/>
  <c r="I166" i="3"/>
  <c r="I87" i="3"/>
  <c r="I153" i="3"/>
  <c r="I26" i="3"/>
  <c r="I154" i="3"/>
  <c r="I25" i="3"/>
  <c r="I89" i="3"/>
  <c r="I161" i="3"/>
  <c r="I55" i="3"/>
  <c r="I34" i="3"/>
  <c r="I98" i="3"/>
  <c r="I162" i="3"/>
  <c r="I15" i="3"/>
  <c r="I12" i="3"/>
  <c r="I76" i="3"/>
  <c r="I140" i="3"/>
  <c r="I45" i="3"/>
  <c r="I109" i="3"/>
  <c r="I173" i="3"/>
  <c r="I135" i="3"/>
  <c r="I46" i="3"/>
  <c r="I110" i="3"/>
  <c r="I143" i="3"/>
  <c r="I24" i="3"/>
  <c r="I88" i="3"/>
  <c r="I152" i="3"/>
  <c r="I185" i="3"/>
  <c r="I191" i="3"/>
  <c r="I90" i="3"/>
  <c r="N7" i="3"/>
  <c r="I33" i="3"/>
  <c r="I97" i="3"/>
  <c r="I169" i="3"/>
  <c r="I111" i="3"/>
  <c r="I42" i="3"/>
  <c r="I106" i="3"/>
  <c r="I170" i="3"/>
  <c r="I23" i="3"/>
  <c r="I11" i="3"/>
  <c r="I75" i="3"/>
  <c r="I139" i="3"/>
  <c r="I20" i="3"/>
  <c r="I84" i="3"/>
  <c r="I148" i="3"/>
  <c r="I199" i="3"/>
  <c r="I32" i="3"/>
  <c r="I96" i="3"/>
  <c r="I160" i="3"/>
  <c r="I145" i="3"/>
  <c r="N6" i="3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F2" i="2"/>
  <c r="G2" i="2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K4" i="2"/>
  <c r="K3" i="2"/>
  <c r="K5" i="2"/>
  <c r="K6" i="2"/>
  <c r="L4" i="2"/>
  <c r="L3" i="2"/>
  <c r="L5" i="2"/>
  <c r="L6" i="2"/>
  <c r="J3" i="2"/>
  <c r="J4" i="2"/>
  <c r="J5" i="2"/>
  <c r="J6" i="2"/>
</calcChain>
</file>

<file path=xl/sharedStrings.xml><?xml version="1.0" encoding="utf-8"?>
<sst xmlns="http://schemas.openxmlformats.org/spreadsheetml/2006/main" count="1527" uniqueCount="509">
  <si>
    <t>Item ID</t>
  </si>
  <si>
    <t>Item Name</t>
  </si>
  <si>
    <t>Category</t>
  </si>
  <si>
    <t>Stock Quantity</t>
  </si>
  <si>
    <t>Reorder Level</t>
  </si>
  <si>
    <t>Unit Price</t>
  </si>
  <si>
    <t>Supplier</t>
  </si>
  <si>
    <t>Last Ordered Date</t>
  </si>
  <si>
    <t>Next Restock Date</t>
  </si>
  <si>
    <t>Warehouse Location</t>
  </si>
  <si>
    <t>Stock Status</t>
  </si>
  <si>
    <t>Stock Value</t>
  </si>
  <si>
    <t>Month of Last Order</t>
  </si>
  <si>
    <t>Total Value</t>
  </si>
  <si>
    <t>ELE0001</t>
  </si>
  <si>
    <t>Electronics Item 1</t>
  </si>
  <si>
    <t>Category C</t>
  </si>
  <si>
    <t>Supplier Z</t>
  </si>
  <si>
    <t>Warehouse B</t>
  </si>
  <si>
    <t>Below Reorder</t>
  </si>
  <si>
    <t>Jan-2023</t>
  </si>
  <si>
    <t>ELE0002</t>
  </si>
  <si>
    <t>Electronics Item 2</t>
  </si>
  <si>
    <t>Category A</t>
  </si>
  <si>
    <t>Supplier Y</t>
  </si>
  <si>
    <t>Warehouse A</t>
  </si>
  <si>
    <t>Sufficient</t>
  </si>
  <si>
    <t>ELE0003</t>
  </si>
  <si>
    <t>Electronics Item 3</t>
  </si>
  <si>
    <t>ELE0004</t>
  </si>
  <si>
    <t>Electronics Item 4</t>
  </si>
  <si>
    <t>Warehouse C</t>
  </si>
  <si>
    <t>ELE0005</t>
  </si>
  <si>
    <t>Electronics Item 5</t>
  </si>
  <si>
    <t>Supplier X</t>
  </si>
  <si>
    <t>ELE0006</t>
  </si>
  <si>
    <t>Electronics Item 6</t>
  </si>
  <si>
    <t>Feb-2023</t>
  </si>
  <si>
    <t>ELE0007</t>
  </si>
  <si>
    <t>Electronics Item 7</t>
  </si>
  <si>
    <t>ELE0008</t>
  </si>
  <si>
    <t>Electronics Item 8</t>
  </si>
  <si>
    <t>Category B</t>
  </si>
  <si>
    <t>ELE0009</t>
  </si>
  <si>
    <t>Electronics Item 9</t>
  </si>
  <si>
    <t>ELE0010</t>
  </si>
  <si>
    <t>Electronics Item 10</t>
  </si>
  <si>
    <t>Mar-2023</t>
  </si>
  <si>
    <t>ELE0011</t>
  </si>
  <si>
    <t>Electronics Item 11</t>
  </si>
  <si>
    <t>ELE0012</t>
  </si>
  <si>
    <t>Electronics Item 12</t>
  </si>
  <si>
    <t>ELE0013</t>
  </si>
  <si>
    <t>Electronics Item 13</t>
  </si>
  <si>
    <t>ELE0014</t>
  </si>
  <si>
    <t>Electronics Item 14</t>
  </si>
  <si>
    <t>Apr-2023</t>
  </si>
  <si>
    <t>ELE0015</t>
  </si>
  <si>
    <t>Electronics Item 15</t>
  </si>
  <si>
    <t>ELE0016</t>
  </si>
  <si>
    <t>Electronics Item 16</t>
  </si>
  <si>
    <t>ELE0017</t>
  </si>
  <si>
    <t>Electronics Item 17</t>
  </si>
  <si>
    <t>ELE0018</t>
  </si>
  <si>
    <t>Electronics Item 18</t>
  </si>
  <si>
    <t>ELE0019</t>
  </si>
  <si>
    <t>Electronics Item 19</t>
  </si>
  <si>
    <t>May-2023</t>
  </si>
  <si>
    <t>ELE0020</t>
  </si>
  <si>
    <t>Electronics Item 20</t>
  </si>
  <si>
    <t>ELE0021</t>
  </si>
  <si>
    <t>Electronics Item 21</t>
  </si>
  <si>
    <t>ELE0022</t>
  </si>
  <si>
    <t>Electronics Item 22</t>
  </si>
  <si>
    <t>ELE0023</t>
  </si>
  <si>
    <t>Electronics Item 23</t>
  </si>
  <si>
    <t>Jun-2023</t>
  </si>
  <si>
    <t>ELE0024</t>
  </si>
  <si>
    <t>Electronics Item 24</t>
  </si>
  <si>
    <t>ELE0025</t>
  </si>
  <si>
    <t>Electronics Item 25</t>
  </si>
  <si>
    <t>ELE0026</t>
  </si>
  <si>
    <t>Electronics Item 26</t>
  </si>
  <si>
    <t>ELE0027</t>
  </si>
  <si>
    <t>Electronics Item 27</t>
  </si>
  <si>
    <t>Jul-2023</t>
  </si>
  <si>
    <t>ELE0028</t>
  </si>
  <si>
    <t>Electronics Item 28</t>
  </si>
  <si>
    <t>ELE0029</t>
  </si>
  <si>
    <t>Electronics Item 29</t>
  </si>
  <si>
    <t>ELE0030</t>
  </si>
  <si>
    <t>Electronics Item 30</t>
  </si>
  <si>
    <t>ELE0031</t>
  </si>
  <si>
    <t>Electronics Item 31</t>
  </si>
  <si>
    <t>ELE0032</t>
  </si>
  <si>
    <t>Electronics Item 32</t>
  </si>
  <si>
    <t>Aug-2023</t>
  </si>
  <si>
    <t>ELE0033</t>
  </si>
  <si>
    <t>Electronics Item 33</t>
  </si>
  <si>
    <t>ELE0034</t>
  </si>
  <si>
    <t>Electronics Item 34</t>
  </si>
  <si>
    <t>ELE0035</t>
  </si>
  <si>
    <t>Electronics Item 35</t>
  </si>
  <si>
    <t>ELE0036</t>
  </si>
  <si>
    <t>Electronics Item 36</t>
  </si>
  <si>
    <t>Sep-2023</t>
  </si>
  <si>
    <t>ELE0037</t>
  </si>
  <si>
    <t>Electronics Item 37</t>
  </si>
  <si>
    <t>ELE0038</t>
  </si>
  <si>
    <t>Electronics Item 38</t>
  </si>
  <si>
    <t>ELE0039</t>
  </si>
  <si>
    <t>Electronics Item 39</t>
  </si>
  <si>
    <t>ELE0040</t>
  </si>
  <si>
    <t>Electronics Item 40</t>
  </si>
  <si>
    <t>Oct-2023</t>
  </si>
  <si>
    <t>ELE0041</t>
  </si>
  <si>
    <t>Electronics Item 41</t>
  </si>
  <si>
    <t>ELE0042</t>
  </si>
  <si>
    <t>Electronics Item 42</t>
  </si>
  <si>
    <t>ELE0043</t>
  </si>
  <si>
    <t>Electronics Item 43</t>
  </si>
  <si>
    <t>ELE0044</t>
  </si>
  <si>
    <t>Electronics Item 44</t>
  </si>
  <si>
    <t>ELE0045</t>
  </si>
  <si>
    <t>Electronics Item 45</t>
  </si>
  <si>
    <t>Nov-2023</t>
  </si>
  <si>
    <t>ELE0046</t>
  </si>
  <si>
    <t>Electronics Item 46</t>
  </si>
  <si>
    <t>ELE0047</t>
  </si>
  <si>
    <t>Electronics Item 47</t>
  </si>
  <si>
    <t>ELE0048</t>
  </si>
  <si>
    <t>Electronics Item 48</t>
  </si>
  <si>
    <t>ELE0049</t>
  </si>
  <si>
    <t>Electronics Item 49</t>
  </si>
  <si>
    <t>Dec-2023</t>
  </si>
  <si>
    <t>ELE0050</t>
  </si>
  <si>
    <t>Electronics Item 50</t>
  </si>
  <si>
    <t>ELE0051</t>
  </si>
  <si>
    <t>Electronics Item 51</t>
  </si>
  <si>
    <t>ELE0052</t>
  </si>
  <si>
    <t>Electronics Item 52</t>
  </si>
  <si>
    <t>ELE0053</t>
  </si>
  <si>
    <t>Electronics Item 53</t>
  </si>
  <si>
    <t>ELE0054</t>
  </si>
  <si>
    <t>Electronics Item 54</t>
  </si>
  <si>
    <t>Jan-2024</t>
  </si>
  <si>
    <t>ELE0055</t>
  </si>
  <si>
    <t>Electronics Item 55</t>
  </si>
  <si>
    <t>ELE0056</t>
  </si>
  <si>
    <t>Electronics Item 56</t>
  </si>
  <si>
    <t>ELE0057</t>
  </si>
  <si>
    <t>Electronics Item 57</t>
  </si>
  <si>
    <t>ELE0058</t>
  </si>
  <si>
    <t>Electronics Item 58</t>
  </si>
  <si>
    <t>Feb-2024</t>
  </si>
  <si>
    <t>ELE0059</t>
  </si>
  <si>
    <t>Electronics Item 59</t>
  </si>
  <si>
    <t>ELE0060</t>
  </si>
  <si>
    <t>Electronics Item 60</t>
  </si>
  <si>
    <t>ELE0061</t>
  </si>
  <si>
    <t>Electronics Item 61</t>
  </si>
  <si>
    <t>ELE0062</t>
  </si>
  <si>
    <t>Electronics Item 62</t>
  </si>
  <si>
    <t>Mar-2024</t>
  </si>
  <si>
    <t>ELE0063</t>
  </si>
  <si>
    <t>Electronics Item 63</t>
  </si>
  <si>
    <t>ELE0064</t>
  </si>
  <si>
    <t>Electronics Item 64</t>
  </si>
  <si>
    <t>ELE0065</t>
  </si>
  <si>
    <t>Electronics Item 65</t>
  </si>
  <si>
    <t>ELE0066</t>
  </si>
  <si>
    <t>Electronics Item 66</t>
  </si>
  <si>
    <t>ELE0067</t>
  </si>
  <si>
    <t>Electronics Item 67</t>
  </si>
  <si>
    <t>Apr-2024</t>
  </si>
  <si>
    <t>ELE0068</t>
  </si>
  <si>
    <t>Electronics Item 68</t>
  </si>
  <si>
    <t>ELE0069</t>
  </si>
  <si>
    <t>Electronics Item 69</t>
  </si>
  <si>
    <t>ELE0070</t>
  </si>
  <si>
    <t>Electronics Item 70</t>
  </si>
  <si>
    <t>ELE0071</t>
  </si>
  <si>
    <t>Electronics Item 71</t>
  </si>
  <si>
    <t>May-2024</t>
  </si>
  <si>
    <t>ELE0072</t>
  </si>
  <si>
    <t>Electronics Item 72</t>
  </si>
  <si>
    <t>ELE0073</t>
  </si>
  <si>
    <t>Electronics Item 73</t>
  </si>
  <si>
    <t>ELE0074</t>
  </si>
  <si>
    <t>Electronics Item 74</t>
  </si>
  <si>
    <t>ELE0075</t>
  </si>
  <si>
    <t>Electronics Item 75</t>
  </si>
  <si>
    <t>Jun-2024</t>
  </si>
  <si>
    <t>ELE0076</t>
  </si>
  <si>
    <t>Electronics Item 76</t>
  </si>
  <si>
    <t>ELE0077</t>
  </si>
  <si>
    <t>Electronics Item 77</t>
  </si>
  <si>
    <t>ELE0078</t>
  </si>
  <si>
    <t>Electronics Item 78</t>
  </si>
  <si>
    <t>ELE0079</t>
  </si>
  <si>
    <t>Electronics Item 79</t>
  </si>
  <si>
    <t>ELE0080</t>
  </si>
  <si>
    <t>Electronics Item 80</t>
  </si>
  <si>
    <t>Jul-2024</t>
  </si>
  <si>
    <t>ELE0081</t>
  </si>
  <si>
    <t>Electronics Item 81</t>
  </si>
  <si>
    <t>ELE0082</t>
  </si>
  <si>
    <t>Electronics Item 82</t>
  </si>
  <si>
    <t>ELE0083</t>
  </si>
  <si>
    <t>Electronics Item 83</t>
  </si>
  <si>
    <t>ELE0084</t>
  </si>
  <si>
    <t>Electronics Item 84</t>
  </si>
  <si>
    <t>Aug-2024</t>
  </si>
  <si>
    <t>ELE0085</t>
  </si>
  <si>
    <t>Electronics Item 85</t>
  </si>
  <si>
    <t>ELE0086</t>
  </si>
  <si>
    <t>Electronics Item 86</t>
  </si>
  <si>
    <t>ELE0087</t>
  </si>
  <si>
    <t>Electronics Item 87</t>
  </si>
  <si>
    <t>ELE0088</t>
  </si>
  <si>
    <t>Electronics Item 88</t>
  </si>
  <si>
    <t>Sep-2024</t>
  </si>
  <si>
    <t>ELE0089</t>
  </si>
  <si>
    <t>Electronics Item 89</t>
  </si>
  <si>
    <t>ELE0090</t>
  </si>
  <si>
    <t>Electronics Item 90</t>
  </si>
  <si>
    <t>ELE0091</t>
  </si>
  <si>
    <t>Electronics Item 91</t>
  </si>
  <si>
    <t>ELE0092</t>
  </si>
  <si>
    <t>Electronics Item 92</t>
  </si>
  <si>
    <t>ELE0093</t>
  </si>
  <si>
    <t>Electronics Item 93</t>
  </si>
  <si>
    <t>Oct-2024</t>
  </si>
  <si>
    <t>ELE0094</t>
  </si>
  <si>
    <t>Electronics Item 94</t>
  </si>
  <si>
    <t>ELE0095</t>
  </si>
  <si>
    <t>Electronics Item 95</t>
  </si>
  <si>
    <t>ELE0096</t>
  </si>
  <si>
    <t>Electronics Item 96</t>
  </si>
  <si>
    <t>ELE0097</t>
  </si>
  <si>
    <t>Electronics Item 97</t>
  </si>
  <si>
    <t>Nov-2024</t>
  </si>
  <si>
    <t>ELE0098</t>
  </si>
  <si>
    <t>Electronics Item 98</t>
  </si>
  <si>
    <t>ELE0099</t>
  </si>
  <si>
    <t>Electronics Item 99</t>
  </si>
  <si>
    <t>ELE0100</t>
  </si>
  <si>
    <t>Electronics Item 100</t>
  </si>
  <si>
    <t>ELE0101</t>
  </si>
  <si>
    <t>Electronics Item 101</t>
  </si>
  <si>
    <t>Dec-2024</t>
  </si>
  <si>
    <t>ELE0102</t>
  </si>
  <si>
    <t>Electronics Item 102</t>
  </si>
  <si>
    <t>ELE0103</t>
  </si>
  <si>
    <t>Electronics Item 103</t>
  </si>
  <si>
    <t>ELE0104</t>
  </si>
  <si>
    <t>Electronics Item 104</t>
  </si>
  <si>
    <t>ELE0105</t>
  </si>
  <si>
    <t>Electronics Item 105</t>
  </si>
  <si>
    <t>ELE0106</t>
  </si>
  <si>
    <t>Electronics Item 106</t>
  </si>
  <si>
    <t>Jan-2025</t>
  </si>
  <si>
    <t>ELE0107</t>
  </si>
  <si>
    <t>Electronics Item 107</t>
  </si>
  <si>
    <t>ELE0108</t>
  </si>
  <si>
    <t>Electronics Item 108</t>
  </si>
  <si>
    <t>ELE0109</t>
  </si>
  <si>
    <t>Electronics Item 109</t>
  </si>
  <si>
    <t>ELE0110</t>
  </si>
  <si>
    <t>Electronics Item 110</t>
  </si>
  <si>
    <t>Feb-2025</t>
  </si>
  <si>
    <t>ELE0111</t>
  </si>
  <si>
    <t>Electronics Item 111</t>
  </si>
  <si>
    <t>ELE0112</t>
  </si>
  <si>
    <t>Electronics Item 112</t>
  </si>
  <si>
    <t>ELE0113</t>
  </si>
  <si>
    <t>Electronics Item 113</t>
  </si>
  <si>
    <t>ELE0114</t>
  </si>
  <si>
    <t>Electronics Item 114</t>
  </si>
  <si>
    <t>Mar-2025</t>
  </si>
  <si>
    <t>ELE0115</t>
  </si>
  <si>
    <t>Electronics Item 115</t>
  </si>
  <si>
    <t>ELE0116</t>
  </si>
  <si>
    <t>Electronics Item 116</t>
  </si>
  <si>
    <t>ELE0117</t>
  </si>
  <si>
    <t>Electronics Item 117</t>
  </si>
  <si>
    <t>ELE0118</t>
  </si>
  <si>
    <t>Electronics Item 118</t>
  </si>
  <si>
    <t>ELE0119</t>
  </si>
  <si>
    <t>Electronics Item 119</t>
  </si>
  <si>
    <t>Apr-2025</t>
  </si>
  <si>
    <t>ELE0120</t>
  </si>
  <si>
    <t>Electronics Item 120</t>
  </si>
  <si>
    <t>ELE0121</t>
  </si>
  <si>
    <t>Electronics Item 121</t>
  </si>
  <si>
    <t>ELE0122</t>
  </si>
  <si>
    <t>Electronics Item 122</t>
  </si>
  <si>
    <t>ELE0123</t>
  </si>
  <si>
    <t>Electronics Item 123</t>
  </si>
  <si>
    <t>May-2025</t>
  </si>
  <si>
    <t>ELE0124</t>
  </si>
  <si>
    <t>Electronics Item 124</t>
  </si>
  <si>
    <t>ELE0125</t>
  </si>
  <si>
    <t>Electronics Item 125</t>
  </si>
  <si>
    <t>ELE0126</t>
  </si>
  <si>
    <t>Electronics Item 126</t>
  </si>
  <si>
    <t>ELE0127</t>
  </si>
  <si>
    <t>Electronics Item 127</t>
  </si>
  <si>
    <t>Jun-2025</t>
  </si>
  <si>
    <t>ELE0128</t>
  </si>
  <si>
    <t>Electronics Item 128</t>
  </si>
  <si>
    <t>ELE0129</t>
  </si>
  <si>
    <t>Electronics Item 129</t>
  </si>
  <si>
    <t>ELE0130</t>
  </si>
  <si>
    <t>Electronics Item 130</t>
  </si>
  <si>
    <t>ELE0131</t>
  </si>
  <si>
    <t>Electronics Item 131</t>
  </si>
  <si>
    <t>ELE0132</t>
  </si>
  <si>
    <t>Electronics Item 132</t>
  </si>
  <si>
    <t>Jul-2025</t>
  </si>
  <si>
    <t>ELE0133</t>
  </si>
  <si>
    <t>Electronics Item 133</t>
  </si>
  <si>
    <t>ELE0134</t>
  </si>
  <si>
    <t>Electronics Item 134</t>
  </si>
  <si>
    <t>ELE0135</t>
  </si>
  <si>
    <t>Electronics Item 135</t>
  </si>
  <si>
    <t>ELE0136</t>
  </si>
  <si>
    <t>Electronics Item 136</t>
  </si>
  <si>
    <t>Aug-2025</t>
  </si>
  <si>
    <t>ELE0137</t>
  </si>
  <si>
    <t>Electronics Item 137</t>
  </si>
  <si>
    <t>ELE0138</t>
  </si>
  <si>
    <t>Electronics Item 138</t>
  </si>
  <si>
    <t>ELE0139</t>
  </si>
  <si>
    <t>Electronics Item 139</t>
  </si>
  <si>
    <t>ELE0140</t>
  </si>
  <si>
    <t>Electronics Item 140</t>
  </si>
  <si>
    <t>ELE0141</t>
  </si>
  <si>
    <t>Electronics Item 141</t>
  </si>
  <si>
    <t>Sep-2025</t>
  </si>
  <si>
    <t>ELE0142</t>
  </si>
  <si>
    <t>Electronics Item 142</t>
  </si>
  <si>
    <t>ELE0143</t>
  </si>
  <si>
    <t>Electronics Item 143</t>
  </si>
  <si>
    <t>ELE0144</t>
  </si>
  <si>
    <t>Electronics Item 144</t>
  </si>
  <si>
    <t>ELE0145</t>
  </si>
  <si>
    <t>Electronics Item 145</t>
  </si>
  <si>
    <t>Oct-2025</t>
  </si>
  <si>
    <t>ELE0146</t>
  </si>
  <si>
    <t>Electronics Item 146</t>
  </si>
  <si>
    <t>ELE0147</t>
  </si>
  <si>
    <t>Electronics Item 147</t>
  </si>
  <si>
    <t>ELE0148</t>
  </si>
  <si>
    <t>Electronics Item 148</t>
  </si>
  <si>
    <t>ELE0149</t>
  </si>
  <si>
    <t>Electronics Item 149</t>
  </si>
  <si>
    <t>Nov-2025</t>
  </si>
  <si>
    <t>ELE0150</t>
  </si>
  <si>
    <t>Electronics Item 150</t>
  </si>
  <si>
    <t>ELE0151</t>
  </si>
  <si>
    <t>Electronics Item 151</t>
  </si>
  <si>
    <t>ELE0152</t>
  </si>
  <si>
    <t>Electronics Item 152</t>
  </si>
  <si>
    <t>ELE0153</t>
  </si>
  <si>
    <t>Electronics Item 153</t>
  </si>
  <si>
    <t>ELE0154</t>
  </si>
  <si>
    <t>Electronics Item 154</t>
  </si>
  <si>
    <t>Dec-2025</t>
  </si>
  <si>
    <t>ELE0155</t>
  </si>
  <si>
    <t>Electronics Item 155</t>
  </si>
  <si>
    <t>ELE0156</t>
  </si>
  <si>
    <t>Electronics Item 156</t>
  </si>
  <si>
    <t>ELE0157</t>
  </si>
  <si>
    <t>Electronics Item 157</t>
  </si>
  <si>
    <t>ELE0158</t>
  </si>
  <si>
    <t>Electronics Item 158</t>
  </si>
  <si>
    <t>Jan-2026</t>
  </si>
  <si>
    <t>ELE0159</t>
  </si>
  <si>
    <t>Electronics Item 159</t>
  </si>
  <si>
    <t>ELE0160</t>
  </si>
  <si>
    <t>Electronics Item 160</t>
  </si>
  <si>
    <t>ELE0161</t>
  </si>
  <si>
    <t>Electronics Item 161</t>
  </si>
  <si>
    <t>ELE0162</t>
  </si>
  <si>
    <t>Electronics Item 162</t>
  </si>
  <si>
    <t>Feb-2026</t>
  </si>
  <si>
    <t>ELE0163</t>
  </si>
  <si>
    <t>Electronics Item 163</t>
  </si>
  <si>
    <t>ELE0164</t>
  </si>
  <si>
    <t>Electronics Item 164</t>
  </si>
  <si>
    <t>ELE0165</t>
  </si>
  <si>
    <t>Electronics Item 165</t>
  </si>
  <si>
    <t>ELE0166</t>
  </si>
  <si>
    <t>Electronics Item 166</t>
  </si>
  <si>
    <t>Mar-2026</t>
  </si>
  <si>
    <t>ELE0167</t>
  </si>
  <si>
    <t>Electronics Item 167</t>
  </si>
  <si>
    <t>ELE0168</t>
  </si>
  <si>
    <t>Electronics Item 168</t>
  </si>
  <si>
    <t>ELE0169</t>
  </si>
  <si>
    <t>Electronics Item 169</t>
  </si>
  <si>
    <t>ELE0170</t>
  </si>
  <si>
    <t>Electronics Item 170</t>
  </si>
  <si>
    <t>ELE0171</t>
  </si>
  <si>
    <t>Electronics Item 171</t>
  </si>
  <si>
    <t>Apr-2026</t>
  </si>
  <si>
    <t>ELE0172</t>
  </si>
  <si>
    <t>Electronics Item 172</t>
  </si>
  <si>
    <t>ELE0173</t>
  </si>
  <si>
    <t>Electronics Item 173</t>
  </si>
  <si>
    <t>ELE0174</t>
  </si>
  <si>
    <t>Electronics Item 174</t>
  </si>
  <si>
    <t>ELE0175</t>
  </si>
  <si>
    <t>Electronics Item 175</t>
  </si>
  <si>
    <t>ELE0176</t>
  </si>
  <si>
    <t>Electronics Item 176</t>
  </si>
  <si>
    <t>ELE0177</t>
  </si>
  <si>
    <t>Electronics Item 177</t>
  </si>
  <si>
    <t>ELE0178</t>
  </si>
  <si>
    <t>Electronics Item 178</t>
  </si>
  <si>
    <t>ELE0179</t>
  </si>
  <si>
    <t>Electronics Item 179</t>
  </si>
  <si>
    <t>ELE0180</t>
  </si>
  <si>
    <t>Electronics Item 180</t>
  </si>
  <si>
    <t>ELE0181</t>
  </si>
  <si>
    <t>Electronics Item 181</t>
  </si>
  <si>
    <t>ELE0182</t>
  </si>
  <si>
    <t>Electronics Item 182</t>
  </si>
  <si>
    <t>ELE0183</t>
  </si>
  <si>
    <t>Electronics Item 183</t>
  </si>
  <si>
    <t>ELE0184</t>
  </si>
  <si>
    <t>Electronics Item 184</t>
  </si>
  <si>
    <t>ELE0185</t>
  </si>
  <si>
    <t>Electronics Item 185</t>
  </si>
  <si>
    <t>ELE0186</t>
  </si>
  <si>
    <t>Electronics Item 186</t>
  </si>
  <si>
    <t>ELE0187</t>
  </si>
  <si>
    <t>Electronics Item 187</t>
  </si>
  <si>
    <t>ELE0188</t>
  </si>
  <si>
    <t>Electronics Item 188</t>
  </si>
  <si>
    <t>ELE0189</t>
  </si>
  <si>
    <t>Electronics Item 189</t>
  </si>
  <si>
    <t>ELE0190</t>
  </si>
  <si>
    <t>Electronics Item 190</t>
  </si>
  <si>
    <t>ELE0191</t>
  </si>
  <si>
    <t>Electronics Item 191</t>
  </si>
  <si>
    <t>ELE0192</t>
  </si>
  <si>
    <t>Electronics Item 192</t>
  </si>
  <si>
    <t>ELE0193</t>
  </si>
  <si>
    <t>Electronics Item 193</t>
  </si>
  <si>
    <t>ELE0194</t>
  </si>
  <si>
    <t>Electronics Item 194</t>
  </si>
  <si>
    <t>ELE0195</t>
  </si>
  <si>
    <t>Electronics Item 195</t>
  </si>
  <si>
    <t>ELE0196</t>
  </si>
  <si>
    <t>Electronics Item 196</t>
  </si>
  <si>
    <t>ELE0197</t>
  </si>
  <si>
    <t>Electronics Item 197</t>
  </si>
  <si>
    <t>ELE0198</t>
  </si>
  <si>
    <t>Electronics Item 198</t>
  </si>
  <si>
    <t>ELE0199</t>
  </si>
  <si>
    <t>Electronics Item 199</t>
  </si>
  <si>
    <t>ELE0200</t>
  </si>
  <si>
    <t>Electronics Item 200</t>
  </si>
  <si>
    <t>Cumulative Value</t>
  </si>
  <si>
    <t>ABC Class</t>
  </si>
  <si>
    <t xml:space="preserve">    Cumulative %</t>
  </si>
  <si>
    <t>ABC Summary</t>
  </si>
  <si>
    <t>Class</t>
  </si>
  <si>
    <t>No. of Items</t>
  </si>
  <si>
    <t>Total Stock Value</t>
  </si>
  <si>
    <t>% of Total Value</t>
  </si>
  <si>
    <t>A</t>
  </si>
  <si>
    <t>B</t>
  </si>
  <si>
    <t>Total</t>
  </si>
  <si>
    <t>C</t>
  </si>
  <si>
    <t>Row Labels</t>
  </si>
  <si>
    <t>Grand Total</t>
  </si>
  <si>
    <t>Annual Demand</t>
  </si>
  <si>
    <t>Ordering Cost</t>
  </si>
  <si>
    <t>Holding Cost Per Unit</t>
  </si>
  <si>
    <t>EOQ</t>
  </si>
  <si>
    <t>Order Status</t>
  </si>
  <si>
    <t>EOQ Summary</t>
  </si>
  <si>
    <t>Metric</t>
  </si>
  <si>
    <t>Value</t>
  </si>
  <si>
    <t>Total Items</t>
  </si>
  <si>
    <t>Items to Order Now</t>
  </si>
  <si>
    <t>Items Stock OK</t>
  </si>
  <si>
    <t>Avg EOQ Quantity</t>
  </si>
  <si>
    <t>Avg Reorder Point</t>
  </si>
  <si>
    <t>Sum of Stock Quantity</t>
  </si>
  <si>
    <t>Column Labels</t>
  </si>
  <si>
    <t>Risk Score</t>
  </si>
  <si>
    <t>Risk Level</t>
  </si>
  <si>
    <t xml:space="preserve">   Stockout Risk Summary</t>
  </si>
  <si>
    <t>High Risk</t>
  </si>
  <si>
    <t>Medium Risk</t>
  </si>
  <si>
    <t>Low Risk</t>
  </si>
  <si>
    <t>Sum of Stock Value</t>
  </si>
  <si>
    <t>Stock Value by Category and Supplier</t>
  </si>
  <si>
    <t>Stock Quantity by Status and Category</t>
  </si>
  <si>
    <t>Inventory Management Dashboard</t>
  </si>
  <si>
    <t>Calculated Reorder Point</t>
  </si>
  <si>
    <t>Electronics Division | Jan 2023 – Apr 2026 | 200 SKUs</t>
  </si>
  <si>
    <t>Total SKUs</t>
  </si>
  <si>
    <t>Total Stock Value ($)</t>
  </si>
  <si>
    <t>High Risk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</si>
</sst>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m\-yyyy"/>
  </numFmts>
  <fonts count="16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0"/>
      <color theme="1"/>
      <name val="Arial Unicode MS"/>
      <family val="2"/>
    </font>
    <font>
      <b/>
      <sz val="11"/>
      <color theme="1"/>
      <name val="Bell MT"/>
      <family val="1"/>
    </font>
    <font>
      <sz val="10"/>
      <color theme="1"/>
      <name val="Bodoni MT"/>
      <family val="1"/>
    </font>
    <font>
      <b/>
      <sz val="28"/>
      <color theme="1"/>
      <name val="Baskerville Old Face"/>
      <family val="1"/>
    </font>
    <font>
      <b/>
      <sz val="26"/>
      <color theme="1"/>
      <name val="Baskerville Old Face"/>
      <family val="1"/>
    </font>
    <font>
      <sz val="11"/>
      <color rgb="FF0070C0"/>
      <name val="Calisto MT"/>
      <family val="1"/>
    </font>
    <font>
      <sz val="10"/>
      <color rgb="FF0070C0"/>
      <name val="Calisto MT"/>
      <family val="1"/>
    </font>
    <font>
      <b/>
      <sz val="28"/>
      <color theme="3" tint="-0.249977111117893"/>
      <name val="Bodoni MT"/>
      <family val="1"/>
    </font>
    <font>
      <i/>
      <sz val="16"/>
      <color theme="1" tint="0.34998626667073579"/>
      <name val="Calisto MT"/>
      <family val="1"/>
    </font>
    <font>
      <sz val="10"/>
      <name val="Arial"/>
      <family val="2"/>
    </font>
    <font>
      <sz val="10"/>
      <color rgb="FF276221"/>
      <name val="Arial"/>
      <family val="2"/>
    </font>
    <font>
      <sz val="10"/>
      <color rgb="FF9C0006"/>
      <name val="Arial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0" fillId="0" borderId="0" xfId="0" applyNumberFormat="1"/>
    <xf numFmtId="10" fontId="0" fillId="0" borderId="0" xfId="0" applyNumberFormat="1"/>
    <xf numFmtId="0" fontId="3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6" fillId="6" borderId="0" xfId="0" applyFont="1" applyFill="1" applyAlignment="1">
      <alignment horizontal="center"/>
    </xf>
    <xf numFmtId="4" fontId="7" fillId="6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2" fontId="0" fillId="0" borderId="0" xfId="0" pivotButton="1" applyNumberFormat="1"/>
    <xf numFmtId="2" fontId="0" fillId="0" borderId="0" xfId="0" applyNumberFormat="1"/>
    <xf numFmtId="2" fontId="0" fillId="0" borderId="0" xfId="0" applyNumberFormat="1" applyAlignment="1">
      <alignment horizontal="left"/>
    </xf>
    <xf numFmtId="0" fontId="0" fillId="0" borderId="0" xfId="0"/>
    <xf numFmtId="0" fontId="12" fillId="7" borderId="1" xfId="1" applyFont="1" applyFill="1" applyBorder="1" applyAlignment="1">
      <alignment horizontal="left" vertical="center"/>
    </xf>
    <xf numFmtId="3" fontId="12" fillId="7" borderId="1" xfId="1" applyNumberFormat="1" applyFont="1" applyFill="1" applyBorder="1" applyAlignment="1">
      <alignment horizontal="right" vertical="center"/>
    </xf>
    <xf numFmtId="4" fontId="12" fillId="7" borderId="1" xfId="1" applyNumberFormat="1" applyFont="1" applyFill="1" applyBorder="1" applyAlignment="1">
      <alignment horizontal="right" vertical="center"/>
    </xf>
    <xf numFmtId="164" fontId="12" fillId="7" borderId="1" xfId="1" applyNumberFormat="1" applyFont="1" applyFill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12" fillId="8" borderId="1" xfId="1" applyFont="1" applyFill="1" applyBorder="1" applyAlignment="1">
      <alignment horizontal="left" vertical="center"/>
    </xf>
    <xf numFmtId="3" fontId="12" fillId="8" borderId="1" xfId="1" applyNumberFormat="1" applyFont="1" applyFill="1" applyBorder="1" applyAlignment="1">
      <alignment horizontal="right" vertical="center"/>
    </xf>
    <xf numFmtId="4" fontId="12" fillId="8" borderId="1" xfId="1" applyNumberFormat="1" applyFont="1" applyFill="1" applyBorder="1" applyAlignment="1">
      <alignment horizontal="right" vertical="center"/>
    </xf>
    <xf numFmtId="164" fontId="12" fillId="8" borderId="1" xfId="1" applyNumberFormat="1" applyFont="1" applyFill="1" applyBorder="1" applyAlignment="1">
      <alignment horizontal="center" vertical="center"/>
    </xf>
    <xf numFmtId="0" fontId="14" fillId="4" borderId="1" xfId="1" applyFont="1" applyFill="1" applyBorder="1" applyAlignment="1">
      <alignment horizontal="center" vertical="center"/>
    </xf>
    <xf numFmtId="0" fontId="15" fillId="0" borderId="0" xfId="0" applyFont="1"/>
  </cellXfs>
  <cellStyles count="2">
    <cellStyle name="Normal" xfId="0" builtinId="0"/>
    <cellStyle name="Normal 2" xfId="1"/>
  </cellStyles>
  <dxfs count="22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 patternType="gray125">
          <bgColor rgb="FF92D050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 patternType="gray125">
          <bgColor rgb="FF92D050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00"/>
      <color rgb="FFFF00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6">
                    <a:lumMod val="50000"/>
                    <a:alpha val="99000"/>
                  </a:schemeClr>
                </a:solidFill>
                <a:effectLst>
                  <a:glow rad="127000">
                    <a:schemeClr val="accent6">
                      <a:lumMod val="60000"/>
                      <a:lumOff val="40000"/>
                    </a:schemeClr>
                  </a:glow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6">
                    <a:lumMod val="50000"/>
                    <a:alpha val="99000"/>
                  </a:schemeClr>
                </a:solidFill>
                <a:effectLst>
                  <a:glow rad="127000">
                    <a:schemeClr val="accent6">
                      <a:lumMod val="60000"/>
                      <a:lumOff val="40000"/>
                    </a:schemeClr>
                  </a:glow>
                  <a:outerShdw blurRad="50800" dist="50800" dir="5400000" algn="ctr" rotWithShape="0">
                    <a:schemeClr val="bg1"/>
                  </a:outerShdw>
                </a:effectLst>
              </a:rPr>
              <a:t>ABC</a:t>
            </a:r>
            <a:r>
              <a:rPr lang="en-US" baseline="0">
                <a:solidFill>
                  <a:schemeClr val="accent6">
                    <a:lumMod val="50000"/>
                    <a:alpha val="99000"/>
                  </a:schemeClr>
                </a:solidFill>
                <a:effectLst>
                  <a:glow rad="127000">
                    <a:schemeClr val="accent6">
                      <a:lumMod val="60000"/>
                      <a:lumOff val="40000"/>
                    </a:schemeClr>
                  </a:glow>
                  <a:outerShdw blurRad="50800" dist="50800" dir="5400000" algn="ctr" rotWithShape="0">
                    <a:schemeClr val="bg1"/>
                  </a:outerShdw>
                </a:effectLst>
              </a:rPr>
              <a:t> Classification - Item Distribution</a:t>
            </a:r>
            <a:endParaRPr lang="en-US">
              <a:solidFill>
                <a:schemeClr val="accent6">
                  <a:lumMod val="50000"/>
                  <a:alpha val="99000"/>
                </a:schemeClr>
              </a:solidFill>
              <a:effectLst>
                <a:glow rad="127000">
                  <a:schemeClr val="accent6">
                    <a:lumMod val="60000"/>
                    <a:lumOff val="40000"/>
                  </a:schemeClr>
                </a:glow>
                <a:outerShdw blurRad="50800" dist="50800" dir="5400000" algn="ctr" rotWithShape="0">
                  <a:schemeClr val="bg1"/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6">
                  <a:lumMod val="50000"/>
                  <a:alpha val="99000"/>
                </a:schemeClr>
              </a:solidFill>
              <a:effectLst>
                <a:glow rad="127000">
                  <a:schemeClr val="accent6">
                    <a:lumMod val="60000"/>
                    <a:lumOff val="40000"/>
                  </a:schemeClr>
                </a:glow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'ABC Analysis'!$J$2</c:f>
              <c:strCache>
                <c:ptCount val="1"/>
                <c:pt idx="0">
                  <c:v>No. of Items</c:v>
                </c:pt>
              </c:strCache>
            </c:strRef>
          </c:tx>
          <c:spPr>
            <a:gradFill>
              <a:gsLst>
                <a:gs pos="0">
                  <a:schemeClr val="accent3">
                    <a:shade val="51000"/>
                  </a:schemeClr>
                </a:gs>
                <a:gs pos="80000">
                  <a:schemeClr val="accent3">
                    <a:shade val="93000"/>
                  </a:schemeClr>
                </a:gs>
                <a:gs pos="100000">
                  <a:schemeClr val="accent3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FF99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'ABC Analysis'!$I$3:$I$6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Total</c:v>
                </c:pt>
              </c:strCache>
            </c:strRef>
          </c:cat>
          <c:val>
            <c:numRef>
              <c:f>'ABC Analysis'!$J$3:$J$6</c:f>
              <c:numCache>
                <c:formatCode>General</c:formatCode>
                <c:ptCount val="4"/>
                <c:pt idx="0">
                  <c:v>135</c:v>
                </c:pt>
                <c:pt idx="1">
                  <c:v>43</c:v>
                </c:pt>
                <c:pt idx="2">
                  <c:v>22</c:v>
                </c:pt>
                <c:pt idx="3">
                  <c:v>200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1146821488"/>
        <c:axId val="-1146818224"/>
      </c:barChart>
      <c:catAx>
        <c:axId val="-114682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46818224"/>
        <c:crosses val="autoZero"/>
        <c:auto val="1"/>
        <c:lblAlgn val="ctr"/>
        <c:lblOffset val="100"/>
        <c:noMultiLvlLbl val="0"/>
      </c:catAx>
      <c:valAx>
        <c:axId val="-1146818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4682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[Inventory_Management_Project.xlsx]ABC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Stock Value by Supplier &amp; Status</a:t>
            </a:r>
            <a:endParaRPr lang="en-IN" b="1">
              <a:solidFill>
                <a:schemeClr val="accent5">
                  <a:lumMod val="75000"/>
                </a:schemeClr>
              </a:solidFill>
              <a:latin typeface="Baskerville Old Face" panose="02020602080505020303" pitchFamily="18" charset="0"/>
            </a:endParaRPr>
          </a:p>
        </c:rich>
      </c:tx>
      <c:layout/>
      <c:overlay val="0"/>
      <c:spPr>
        <a:gradFill>
          <a:gsLst>
            <a:gs pos="0">
              <a:schemeClr val="accent3">
                <a:tint val="50000"/>
              </a:schemeClr>
            </a:gs>
            <a:gs pos="35000">
              <a:schemeClr val="accent3">
                <a:tint val="37000"/>
              </a:schemeClr>
            </a:gs>
            <a:gs pos="100000">
              <a:schemeClr val="accent3">
                <a:tint val="15000"/>
              </a:schemeClr>
            </a:gs>
          </a:gsLst>
          <a:lin ang="16200000" scaled="1"/>
          <a:tileRect/>
        </a:gradFill>
        <a:ln w="9525" cap="flat" cmpd="sng" algn="ctr">
          <a:solidFill>
            <a:schemeClr val="accent2">
              <a:lumMod val="75000"/>
            </a:schemeClr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'ABC Analysis'!$J$38:$J$39</c:f>
              <c:strCache>
                <c:ptCount val="1"/>
                <c:pt idx="0">
                  <c:v>Below Reorder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'ABC Analysis'!$I$40:$I$43</c:f>
              <c:strCache>
                <c:ptCount val="3"/>
                <c:pt idx="0">
                  <c:v>Supplier X</c:v>
                </c:pt>
                <c:pt idx="1">
                  <c:v>Supplier Y</c:v>
                </c:pt>
                <c:pt idx="2">
                  <c:v>Supplier Z</c:v>
                </c:pt>
              </c:strCache>
            </c:strRef>
          </c:cat>
          <c:val>
            <c:numRef>
              <c:f>'ABC Analysis'!$J$40:$J$43</c:f>
              <c:numCache>
                <c:formatCode>General</c:formatCode>
                <c:ptCount val="3"/>
                <c:pt idx="0">
                  <c:v>353318.22</c:v>
                </c:pt>
                <c:pt idx="1">
                  <c:v>357456.9</c:v>
                </c:pt>
                <c:pt idx="2">
                  <c:v>319850.85000000003</c:v>
                </c:pt>
              </c:numCache>
            </c:numRef>
          </c:val>
        </c:ser>
        <c:ser>
          <c:idx val="1"/>
          <c:order val="1"/>
          <c:tx>
            <c:strRef>
              <c:f>'ABC Analysis'!$K$38:$K$39</c:f>
              <c:strCache>
                <c:ptCount val="1"/>
                <c:pt idx="0">
                  <c:v>Sufficient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'ABC Analysis'!$I$40:$I$43</c:f>
              <c:strCache>
                <c:ptCount val="3"/>
                <c:pt idx="0">
                  <c:v>Supplier X</c:v>
                </c:pt>
                <c:pt idx="1">
                  <c:v>Supplier Y</c:v>
                </c:pt>
                <c:pt idx="2">
                  <c:v>Supplier Z</c:v>
                </c:pt>
              </c:strCache>
            </c:strRef>
          </c:cat>
          <c:val>
            <c:numRef>
              <c:f>'ABC Analysis'!$K$40:$K$43</c:f>
              <c:numCache>
                <c:formatCode>General</c:formatCode>
                <c:ptCount val="3"/>
                <c:pt idx="0">
                  <c:v>4666369.3800000018</c:v>
                </c:pt>
                <c:pt idx="1">
                  <c:v>3406713.0099999993</c:v>
                </c:pt>
                <c:pt idx="2">
                  <c:v>3270801.0700000008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973579712"/>
        <c:axId val="-973584608"/>
      </c:barChart>
      <c:catAx>
        <c:axId val="-97357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3584608"/>
        <c:crosses val="autoZero"/>
        <c:auto val="1"/>
        <c:lblAlgn val="ctr"/>
        <c:lblOffset val="100"/>
        <c:noMultiLvlLbl val="0"/>
      </c:catAx>
      <c:valAx>
        <c:axId val="-9735846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357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[Inventory_Management_Project.xlsx]Stockout Risk!PivotTable2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>
                    <a:lumMod val="75000"/>
                  </a:schemeClr>
                </a:solidFill>
              </a:rPr>
              <a:t>STOCK</a:t>
            </a:r>
            <a:r>
              <a:rPr lang="en-US" baseline="0">
                <a:solidFill>
                  <a:schemeClr val="accent2">
                    <a:lumMod val="75000"/>
                  </a:schemeClr>
                </a:solidFill>
              </a:rPr>
              <a:t> sTATUS dISTRIBUTION bY cATEGORY</a:t>
            </a:r>
            <a:endParaRPr lang="en-US">
              <a:solidFill>
                <a:schemeClr val="accent2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>
          <a:glow rad="63500">
            <a:schemeClr val="accent2">
              <a:satMod val="175000"/>
              <a:alpha val="40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'Stockout Risk'!$M$23:$M$24</c:f>
              <c:strCache>
                <c:ptCount val="1"/>
                <c:pt idx="0">
                  <c:v>Category 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'Stockout Risk'!$L$25:$L$27</c:f>
              <c:strCache>
                <c:ptCount val="2"/>
                <c:pt idx="0">
                  <c:v>Below Reorder</c:v>
                </c:pt>
                <c:pt idx="1">
                  <c:v>Sufficient</c:v>
                </c:pt>
              </c:strCache>
            </c:strRef>
          </c:cat>
          <c:val>
            <c:numRef>
              <c:f>'Stockout Risk'!$M$25:$M$27</c:f>
              <c:numCache>
                <c:formatCode>General</c:formatCode>
                <c:ptCount val="2"/>
                <c:pt idx="0">
                  <c:v>360742.75</c:v>
                </c:pt>
                <c:pt idx="1">
                  <c:v>4394495.709999999</c:v>
                </c:pt>
              </c:numCache>
            </c:numRef>
          </c:val>
        </c:ser>
        <c:ser>
          <c:idx val="1"/>
          <c:order val="1"/>
          <c:tx>
            <c:strRef>
              <c:f>'Stockout Risk'!$N$23:$N$24</c:f>
              <c:strCache>
                <c:ptCount val="1"/>
                <c:pt idx="0">
                  <c:v>Category 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'Stockout Risk'!$L$25:$L$27</c:f>
              <c:strCache>
                <c:ptCount val="2"/>
                <c:pt idx="0">
                  <c:v>Below Reorder</c:v>
                </c:pt>
                <c:pt idx="1">
                  <c:v>Sufficient</c:v>
                </c:pt>
              </c:strCache>
            </c:strRef>
          </c:cat>
          <c:val>
            <c:numRef>
              <c:f>'Stockout Risk'!$N$25:$N$27</c:f>
              <c:numCache>
                <c:formatCode>General</c:formatCode>
                <c:ptCount val="2"/>
                <c:pt idx="0">
                  <c:v>191371.6</c:v>
                </c:pt>
                <c:pt idx="1">
                  <c:v>3712599.2100000004</c:v>
                </c:pt>
              </c:numCache>
            </c:numRef>
          </c:val>
        </c:ser>
        <c:ser>
          <c:idx val="2"/>
          <c:order val="2"/>
          <c:tx>
            <c:strRef>
              <c:f>'Stockout Risk'!$O$23:$O$24</c:f>
              <c:strCache>
                <c:ptCount val="1"/>
                <c:pt idx="0">
                  <c:v>Category 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'Stockout Risk'!$L$25:$L$27</c:f>
              <c:strCache>
                <c:ptCount val="2"/>
                <c:pt idx="0">
                  <c:v>Below Reorder</c:v>
                </c:pt>
                <c:pt idx="1">
                  <c:v>Sufficient</c:v>
                </c:pt>
              </c:strCache>
            </c:strRef>
          </c:cat>
          <c:val>
            <c:numRef>
              <c:f>'Stockout Risk'!$O$25:$O$27</c:f>
              <c:numCache>
                <c:formatCode>General</c:formatCode>
                <c:ptCount val="2"/>
                <c:pt idx="0">
                  <c:v>478511.62</c:v>
                </c:pt>
                <c:pt idx="1">
                  <c:v>3236788.5400000005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Stockout Risk Distribution</a:t>
            </a:r>
          </a:p>
        </c:rich>
      </c:tx>
      <c:layout/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2"/>
          </a:solidFill>
        </a:ln>
        <a:effectLst>
          <a:glow rad="101600">
            <a:schemeClr val="accent4">
              <a:satMod val="175000"/>
              <a:alpha val="40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'Stockout Risk'!$L$3:$L$5</c:f>
              <c:strCache>
                <c:ptCount val="3"/>
                <c:pt idx="0">
                  <c:v>High Risk</c:v>
                </c:pt>
                <c:pt idx="1">
                  <c:v>Medium Risk</c:v>
                </c:pt>
                <c:pt idx="2">
                  <c:v>Low Risk</c:v>
                </c:pt>
              </c:strCache>
            </c:strRef>
          </c:cat>
          <c:val>
            <c:numRef>
              <c:f>'Stockout Risk'!$M$3:$M$5</c:f>
              <c:numCache>
                <c:formatCode>General</c:formatCode>
                <c:ptCount val="3"/>
                <c:pt idx="0">
                  <c:v>47</c:v>
                </c:pt>
                <c:pt idx="1">
                  <c:v>0</c:v>
                </c:pt>
                <c:pt idx="2">
                  <c:v>153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-1146812240"/>
        <c:axId val="-1146814416"/>
        <c:axId val="0"/>
      </c:bar3DChart>
      <c:catAx>
        <c:axId val="-114681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46814416"/>
        <c:crosses val="autoZero"/>
        <c:auto val="1"/>
        <c:lblAlgn val="ctr"/>
        <c:lblOffset val="100"/>
        <c:noMultiLvlLbl val="0"/>
      </c:catAx>
      <c:valAx>
        <c:axId val="-114681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4681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6">
                    <a:lumMod val="50000"/>
                    <a:alpha val="99000"/>
                  </a:schemeClr>
                </a:solidFill>
                <a:effectLst>
                  <a:glow rad="127000">
                    <a:schemeClr val="accent6">
                      <a:lumMod val="60000"/>
                      <a:lumOff val="40000"/>
                    </a:schemeClr>
                  </a:glow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6">
                    <a:lumMod val="50000"/>
                    <a:alpha val="99000"/>
                  </a:schemeClr>
                </a:solidFill>
                <a:effectLst>
                  <a:glow rad="127000">
                    <a:schemeClr val="accent6">
                      <a:lumMod val="60000"/>
                      <a:lumOff val="40000"/>
                    </a:schemeClr>
                  </a:glow>
                  <a:outerShdw blurRad="50800" dist="50800" dir="5400000" algn="ctr" rotWithShape="0">
                    <a:schemeClr val="bg1"/>
                  </a:outerShdw>
                </a:effectLst>
              </a:rPr>
              <a:t>ABC</a:t>
            </a:r>
            <a:r>
              <a:rPr lang="en-US" baseline="0">
                <a:solidFill>
                  <a:schemeClr val="accent6">
                    <a:lumMod val="50000"/>
                    <a:alpha val="99000"/>
                  </a:schemeClr>
                </a:solidFill>
                <a:effectLst>
                  <a:glow rad="127000">
                    <a:schemeClr val="accent6">
                      <a:lumMod val="60000"/>
                      <a:lumOff val="40000"/>
                    </a:schemeClr>
                  </a:glow>
                  <a:outerShdw blurRad="50800" dist="50800" dir="5400000" algn="ctr" rotWithShape="0">
                    <a:schemeClr val="bg1"/>
                  </a:outerShdw>
                </a:effectLst>
              </a:rPr>
              <a:t> Classification - Item Distribution</a:t>
            </a:r>
            <a:endParaRPr lang="en-US">
              <a:solidFill>
                <a:schemeClr val="accent6">
                  <a:lumMod val="50000"/>
                  <a:alpha val="99000"/>
                </a:schemeClr>
              </a:solidFill>
              <a:effectLst>
                <a:glow rad="127000">
                  <a:schemeClr val="accent6">
                    <a:lumMod val="60000"/>
                    <a:lumOff val="40000"/>
                  </a:schemeClr>
                </a:glow>
                <a:outerShdw blurRad="50800" dist="50800" dir="5400000" algn="ctr" rotWithShape="0">
                  <a:schemeClr val="bg1"/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6">
                  <a:lumMod val="50000"/>
                  <a:alpha val="99000"/>
                </a:schemeClr>
              </a:solidFill>
              <a:effectLst>
                <a:glow rad="127000">
                  <a:schemeClr val="accent6">
                    <a:lumMod val="60000"/>
                    <a:lumOff val="40000"/>
                  </a:schemeClr>
                </a:glow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'ABC Analysis'!$J$2</c:f>
              <c:strCache>
                <c:ptCount val="1"/>
                <c:pt idx="0">
                  <c:v>No. of Items</c:v>
                </c:pt>
              </c:strCache>
            </c:strRef>
          </c:tx>
          <c:spPr>
            <a:gradFill>
              <a:gsLst>
                <a:gs pos="0">
                  <a:schemeClr val="accent3">
                    <a:shade val="51000"/>
                  </a:schemeClr>
                </a:gs>
                <a:gs pos="80000">
                  <a:schemeClr val="accent3">
                    <a:shade val="93000"/>
                  </a:schemeClr>
                </a:gs>
                <a:gs pos="100000">
                  <a:schemeClr val="accent3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FF99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'ABC Analysis'!$I$3:$I$6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Total</c:v>
                </c:pt>
              </c:strCache>
            </c:strRef>
          </c:cat>
          <c:val>
            <c:numRef>
              <c:f>'ABC Analysis'!$J$3:$J$6</c:f>
              <c:numCache>
                <c:formatCode>General</c:formatCode>
                <c:ptCount val="4"/>
                <c:pt idx="0">
                  <c:v>135</c:v>
                </c:pt>
                <c:pt idx="1">
                  <c:v>43</c:v>
                </c:pt>
                <c:pt idx="2">
                  <c:v>22</c:v>
                </c:pt>
                <c:pt idx="3">
                  <c:v>200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973580256"/>
        <c:axId val="-973583520"/>
      </c:barChart>
      <c:catAx>
        <c:axId val="-97358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3583520"/>
        <c:crosses val="autoZero"/>
        <c:auto val="1"/>
        <c:lblAlgn val="ctr"/>
        <c:lblOffset val="100"/>
        <c:noMultiLvlLbl val="0"/>
      </c:catAx>
      <c:valAx>
        <c:axId val="-973583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358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[Inventory_Management_Project.xlsx]Stockout Risk!PivotTable2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>
                    <a:lumMod val="75000"/>
                  </a:schemeClr>
                </a:solidFill>
              </a:rPr>
              <a:t>STOCK</a:t>
            </a:r>
            <a:r>
              <a:rPr lang="en-US" baseline="0">
                <a:solidFill>
                  <a:schemeClr val="accent2">
                    <a:lumMod val="75000"/>
                  </a:schemeClr>
                </a:solidFill>
              </a:rPr>
              <a:t> sTATUS dISTRIBUTION bY cATEGORY</a:t>
            </a:r>
            <a:endParaRPr lang="en-US">
              <a:solidFill>
                <a:schemeClr val="accent2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>
          <a:glow rad="63500">
            <a:schemeClr val="accent2">
              <a:satMod val="175000"/>
              <a:alpha val="40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'Stockout Risk'!$M$23:$M$24</c:f>
              <c:strCache>
                <c:ptCount val="1"/>
                <c:pt idx="0">
                  <c:v>Category 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'Stockout Risk'!$L$25:$L$27</c:f>
              <c:strCache>
                <c:ptCount val="2"/>
                <c:pt idx="0">
                  <c:v>Below Reorder</c:v>
                </c:pt>
                <c:pt idx="1">
                  <c:v>Sufficient</c:v>
                </c:pt>
              </c:strCache>
            </c:strRef>
          </c:cat>
          <c:val>
            <c:numRef>
              <c:f>'Stockout Risk'!$M$25:$M$27</c:f>
              <c:numCache>
                <c:formatCode>General</c:formatCode>
                <c:ptCount val="2"/>
                <c:pt idx="0">
                  <c:v>360742.75</c:v>
                </c:pt>
                <c:pt idx="1">
                  <c:v>4394495.709999999</c:v>
                </c:pt>
              </c:numCache>
            </c:numRef>
          </c:val>
        </c:ser>
        <c:ser>
          <c:idx val="1"/>
          <c:order val="1"/>
          <c:tx>
            <c:strRef>
              <c:f>'Stockout Risk'!$N$23:$N$24</c:f>
              <c:strCache>
                <c:ptCount val="1"/>
                <c:pt idx="0">
                  <c:v>Category 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'Stockout Risk'!$L$25:$L$27</c:f>
              <c:strCache>
                <c:ptCount val="2"/>
                <c:pt idx="0">
                  <c:v>Below Reorder</c:v>
                </c:pt>
                <c:pt idx="1">
                  <c:v>Sufficient</c:v>
                </c:pt>
              </c:strCache>
            </c:strRef>
          </c:cat>
          <c:val>
            <c:numRef>
              <c:f>'Stockout Risk'!$N$25:$N$27</c:f>
              <c:numCache>
                <c:formatCode>General</c:formatCode>
                <c:ptCount val="2"/>
                <c:pt idx="0">
                  <c:v>191371.6</c:v>
                </c:pt>
                <c:pt idx="1">
                  <c:v>3712599.2100000004</c:v>
                </c:pt>
              </c:numCache>
            </c:numRef>
          </c:val>
        </c:ser>
        <c:ser>
          <c:idx val="2"/>
          <c:order val="2"/>
          <c:tx>
            <c:strRef>
              <c:f>'Stockout Risk'!$O$23:$O$24</c:f>
              <c:strCache>
                <c:ptCount val="1"/>
                <c:pt idx="0">
                  <c:v>Category 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'Stockout Risk'!$L$25:$L$27</c:f>
              <c:strCache>
                <c:ptCount val="2"/>
                <c:pt idx="0">
                  <c:v>Below Reorder</c:v>
                </c:pt>
                <c:pt idx="1">
                  <c:v>Sufficient</c:v>
                </c:pt>
              </c:strCache>
            </c:strRef>
          </c:cat>
          <c:val>
            <c:numRef>
              <c:f>'Stockout Risk'!$O$25:$O$27</c:f>
              <c:numCache>
                <c:formatCode>General</c:formatCode>
                <c:ptCount val="2"/>
                <c:pt idx="0">
                  <c:v>478511.62</c:v>
                </c:pt>
                <c:pt idx="1">
                  <c:v>3236788.5400000005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Stockout Risk Distribution</a:t>
            </a:r>
          </a:p>
        </c:rich>
      </c:tx>
      <c:layout/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2"/>
          </a:solidFill>
        </a:ln>
        <a:effectLst>
          <a:glow rad="101600">
            <a:schemeClr val="accent4">
              <a:satMod val="175000"/>
              <a:alpha val="40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'Stockout Risk'!$L$3:$L$5</c:f>
              <c:strCache>
                <c:ptCount val="3"/>
                <c:pt idx="0">
                  <c:v>High Risk</c:v>
                </c:pt>
                <c:pt idx="1">
                  <c:v>Medium Risk</c:v>
                </c:pt>
                <c:pt idx="2">
                  <c:v>Low Risk</c:v>
                </c:pt>
              </c:strCache>
            </c:strRef>
          </c:cat>
          <c:val>
            <c:numRef>
              <c:f>'Stockout Risk'!$M$3:$M$5</c:f>
              <c:numCache>
                <c:formatCode>General</c:formatCode>
                <c:ptCount val="3"/>
                <c:pt idx="0">
                  <c:v>47</c:v>
                </c:pt>
                <c:pt idx="1">
                  <c:v>0</c:v>
                </c:pt>
                <c:pt idx="2">
                  <c:v>153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-1144974240"/>
        <c:axId val="-1144978048"/>
        <c:axId val="0"/>
      </c:bar3DChart>
      <c:catAx>
        <c:axId val="-114497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44978048"/>
        <c:crosses val="autoZero"/>
        <c:auto val="1"/>
        <c:lblAlgn val="ctr"/>
        <c:lblOffset val="100"/>
        <c:noMultiLvlLbl val="0"/>
      </c:catAx>
      <c:valAx>
        <c:axId val="-114497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4497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[Inventory_Management_Project.xlsx]ABC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Stock Value by Supplier &amp; Status</a:t>
            </a:r>
            <a:endParaRPr lang="en-IN" b="1">
              <a:solidFill>
                <a:schemeClr val="accent5">
                  <a:lumMod val="75000"/>
                </a:schemeClr>
              </a:solidFill>
              <a:latin typeface="Baskerville Old Face" panose="02020602080505020303" pitchFamily="18" charset="0"/>
            </a:endParaRPr>
          </a:p>
        </c:rich>
      </c:tx>
      <c:layout/>
      <c:overlay val="0"/>
      <c:spPr>
        <a:gradFill>
          <a:gsLst>
            <a:gs pos="0">
              <a:schemeClr val="accent3">
                <a:tint val="50000"/>
              </a:schemeClr>
            </a:gs>
            <a:gs pos="35000">
              <a:schemeClr val="accent3">
                <a:tint val="37000"/>
              </a:schemeClr>
            </a:gs>
            <a:gs pos="100000">
              <a:schemeClr val="accent3">
                <a:tint val="15000"/>
              </a:schemeClr>
            </a:gs>
          </a:gsLst>
          <a:lin ang="16200000" scaled="1"/>
          <a:tileRect/>
        </a:gradFill>
        <a:ln w="9525" cap="flat" cmpd="sng" algn="ctr">
          <a:solidFill>
            <a:schemeClr val="accent2">
              <a:lumMod val="75000"/>
            </a:schemeClr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'ABC Analysis'!$J$38:$J$39</c:f>
              <c:strCache>
                <c:ptCount val="1"/>
                <c:pt idx="0">
                  <c:v>Below Reorder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'ABC Analysis'!$I$40:$I$43</c:f>
              <c:strCache>
                <c:ptCount val="3"/>
                <c:pt idx="0">
                  <c:v>Supplier X</c:v>
                </c:pt>
                <c:pt idx="1">
                  <c:v>Supplier Y</c:v>
                </c:pt>
                <c:pt idx="2">
                  <c:v>Supplier Z</c:v>
                </c:pt>
              </c:strCache>
            </c:strRef>
          </c:cat>
          <c:val>
            <c:numRef>
              <c:f>'ABC Analysis'!$J$40:$J$43</c:f>
              <c:numCache>
                <c:formatCode>General</c:formatCode>
                <c:ptCount val="3"/>
                <c:pt idx="0">
                  <c:v>353318.22</c:v>
                </c:pt>
                <c:pt idx="1">
                  <c:v>357456.9</c:v>
                </c:pt>
                <c:pt idx="2">
                  <c:v>319850.85000000003</c:v>
                </c:pt>
              </c:numCache>
            </c:numRef>
          </c:val>
        </c:ser>
        <c:ser>
          <c:idx val="1"/>
          <c:order val="1"/>
          <c:tx>
            <c:strRef>
              <c:f>'ABC Analysis'!$K$38:$K$39</c:f>
              <c:strCache>
                <c:ptCount val="1"/>
                <c:pt idx="0">
                  <c:v>Sufficient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'ABC Analysis'!$I$40:$I$43</c:f>
              <c:strCache>
                <c:ptCount val="3"/>
                <c:pt idx="0">
                  <c:v>Supplier X</c:v>
                </c:pt>
                <c:pt idx="1">
                  <c:v>Supplier Y</c:v>
                </c:pt>
                <c:pt idx="2">
                  <c:v>Supplier Z</c:v>
                </c:pt>
              </c:strCache>
            </c:strRef>
          </c:cat>
          <c:val>
            <c:numRef>
              <c:f>'ABC Analysis'!$K$40:$K$43</c:f>
              <c:numCache>
                <c:formatCode>General</c:formatCode>
                <c:ptCount val="3"/>
                <c:pt idx="0">
                  <c:v>4666369.3800000018</c:v>
                </c:pt>
                <c:pt idx="1">
                  <c:v>3406713.0099999993</c:v>
                </c:pt>
                <c:pt idx="2">
                  <c:v>3270801.0700000008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060439360"/>
        <c:axId val="-1060437184"/>
      </c:barChart>
      <c:catAx>
        <c:axId val="-106043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60437184"/>
        <c:crosses val="autoZero"/>
        <c:auto val="1"/>
        <c:lblAlgn val="ctr"/>
        <c:lblOffset val="100"/>
        <c:noMultiLvlLbl val="0"/>
      </c:catAx>
      <c:valAx>
        <c:axId val="-10604371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6043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582203</xdr:colOff>
      <xdr:row>7</xdr:row>
      <xdr:rowOff>171236</xdr:rowOff>
    </xdr:from>
    <xdr:to>
      <xdr:col>12</xdr:col>
      <xdr:colOff>582202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44</xdr:row>
      <xdr:rowOff>157921</xdr:rowOff>
    </xdr:from>
    <xdr:to>
      <xdr:col>12</xdr:col>
      <xdr:colOff>13252</xdr:colOff>
      <xdr:row>59</xdr:row>
      <xdr:rowOff>185529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7937</xdr:colOff>
      <xdr:row>30</xdr:row>
      <xdr:rowOff>7937</xdr:rowOff>
    </xdr:from>
    <xdr:to>
      <xdr:col>16</xdr:col>
      <xdr:colOff>15875</xdr:colOff>
      <xdr:row>44</xdr:row>
      <xdr:rowOff>31750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10439</xdr:colOff>
      <xdr:row>46</xdr:row>
      <xdr:rowOff>178495</xdr:rowOff>
    </xdr:from>
    <xdr:to>
      <xdr:col>15</xdr:col>
      <xdr:colOff>824630</xdr:colOff>
      <xdr:row>61</xdr:row>
      <xdr:rowOff>156574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1361</xdr:colOff>
      <xdr:row>11</xdr:row>
      <xdr:rowOff>180120</xdr:rowOff>
    </xdr:from>
    <xdr:to>
      <xdr:col>7</xdr:col>
      <xdr:colOff>580159</xdr:colOff>
      <xdr:row>26</xdr:row>
      <xdr:rowOff>8660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31918</xdr:colOff>
      <xdr:row>29</xdr:row>
      <xdr:rowOff>24064</xdr:rowOff>
    </xdr:from>
    <xdr:to>
      <xdr:col>8</xdr:col>
      <xdr:colOff>8021</xdr:colOff>
      <xdr:row>44</xdr:row>
      <xdr:rowOff>11704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14976</xdr:colOff>
      <xdr:row>28</xdr:row>
      <xdr:rowOff>173182</xdr:rowOff>
    </xdr:from>
    <xdr:to>
      <xdr:col>16</xdr:col>
      <xdr:colOff>1</xdr:colOff>
      <xdr:row>44</xdr:row>
      <xdr:rowOff>135697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</xdr:colOff>
      <xdr:row>12</xdr:row>
      <xdr:rowOff>8659</xdr:rowOff>
    </xdr:from>
    <xdr:to>
      <xdr:col>16</xdr:col>
      <xdr:colOff>8659</xdr:colOff>
      <xdr:row>26</xdr:row>
      <xdr:rowOff>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83.406554976849" createdVersion="5" refreshedVersion="5" minRefreshableVersion="3" recordCount="200">
  <cacheSource type="worksheet">
    <worksheetSource ref="A1:N201" sheet="Data"/>
  </cacheSource>
  <cacheFields count="14">
    <cacheField name="Item ID" numFmtId="0">
      <sharedItems/>
    </cacheField>
    <cacheField name="Item Name" numFmtId="0">
      <sharedItems/>
    </cacheField>
    <cacheField name="Category" numFmtId="0">
      <sharedItems count="3">
        <s v="Category C"/>
        <s v="Category A"/>
        <s v="Category B"/>
      </sharedItems>
    </cacheField>
    <cacheField name="Stock Quantity" numFmtId="3">
      <sharedItems containsSemiMixedTypes="0" containsString="0" containsNumber="1" containsInteger="1" minValue="11" maxValue="499" count="166">
        <n v="145"/>
        <n v="481"/>
        <n v="72"/>
        <n v="148"/>
        <n v="90"/>
        <n v="401"/>
        <n v="172"/>
        <n v="428"/>
        <n v="298"/>
        <n v="388"/>
        <n v="270"/>
        <n v="499"/>
        <n v="240"/>
        <n v="50"/>
        <n v="37"/>
        <n v="144"/>
        <n v="210"/>
        <n v="337"/>
        <n v="277"/>
        <n v="427"/>
        <n v="42"/>
        <n v="57"/>
        <n v="416"/>
        <n v="71"/>
        <n v="225"/>
        <n v="302"/>
        <n v="108"/>
        <n v="181"/>
        <n v="369"/>
        <n v="223"/>
        <n v="484"/>
        <n v="44"/>
        <n v="458"/>
        <n v="236"/>
        <n v="110"/>
        <n v="440"/>
        <n v="471"/>
        <n v="140"/>
        <n v="266"/>
        <n v="14"/>
        <n v="227"/>
        <n v="264"/>
        <n v="407"/>
        <n v="368"/>
        <n v="292"/>
        <n v="402"/>
        <n v="216"/>
        <n v="24"/>
        <n v="355"/>
        <n v="51"/>
        <n v="389"/>
        <n v="470"/>
        <n v="188"/>
        <n v="361"/>
        <n v="250"/>
        <n v="61"/>
        <n v="105"/>
        <n v="397"/>
        <n v="231"/>
        <n v="494"/>
        <n v="246"/>
        <n v="152"/>
        <n v="180"/>
        <n v="38"/>
        <n v="45"/>
        <n v="22"/>
        <n v="169"/>
        <n v="336"/>
        <n v="196"/>
        <n v="252"/>
        <n v="95"/>
        <n v="293"/>
        <n v="75"/>
        <n v="179"/>
        <n v="54"/>
        <n v="450"/>
        <n v="143"/>
        <n v="117"/>
        <n v="53"/>
        <n v="349"/>
        <n v="295"/>
        <n v="455"/>
        <n v="340"/>
        <n v="137"/>
        <n v="357"/>
        <n v="482"/>
        <n v="199"/>
        <n v="234"/>
        <n v="394"/>
        <n v="386"/>
        <n v="353"/>
        <n v="335"/>
        <n v="422"/>
        <n v="171"/>
        <n v="309"/>
        <n v="91"/>
        <n v="280"/>
        <n v="68"/>
        <n v="160"/>
        <n v="269"/>
        <n v="480"/>
        <n v="459"/>
        <n v="384"/>
        <n v="347"/>
        <n v="226"/>
        <n v="375"/>
        <n v="20"/>
        <n v="372"/>
        <n v="273"/>
        <n v="380"/>
        <n v="58"/>
        <n v="452"/>
        <n v="382"/>
        <n v="284"/>
        <n v="457"/>
        <n v="343"/>
        <n v="258"/>
        <n v="11"/>
        <n v="366"/>
        <n v="121"/>
        <n v="39"/>
        <n v="451"/>
        <n v="314"/>
        <n v="132"/>
        <n v="285"/>
        <n v="323"/>
        <n v="63"/>
        <n v="89"/>
        <n v="92"/>
        <n v="48"/>
        <n v="85"/>
        <n v="393"/>
        <n v="425"/>
        <n v="456"/>
        <n v="166"/>
        <n v="214"/>
        <n v="307"/>
        <n v="399"/>
        <n v="118"/>
        <n v="31"/>
        <n v="193"/>
        <n v="415"/>
        <n v="28"/>
        <n v="489"/>
        <n v="205"/>
        <n v="253"/>
        <n v="87"/>
        <n v="100"/>
        <n v="418"/>
        <n v="47"/>
        <n v="203"/>
        <n v="426"/>
        <n v="448"/>
        <n v="344"/>
        <n v="474"/>
        <n v="283"/>
        <n v="351"/>
        <n v="97"/>
        <n v="113"/>
        <n v="271"/>
        <n v="249"/>
        <n v="112"/>
        <n v="26"/>
        <n v="311"/>
        <n v="414"/>
        <n v="454"/>
      </sharedItems>
    </cacheField>
    <cacheField name="Reorder Level" numFmtId="3">
      <sharedItems containsSemiMixedTypes="0" containsString="0" containsNumber="1" containsInteger="1" minValue="50" maxValue="200" count="111">
        <n v="170"/>
        <n v="165"/>
        <n v="52"/>
        <n v="152"/>
        <n v="186"/>
        <n v="111"/>
        <n v="100"/>
        <n v="108"/>
        <n v="167"/>
        <n v="145"/>
        <n v="162"/>
        <n v="101"/>
        <n v="61"/>
        <n v="88"/>
        <n v="179"/>
        <n v="180"/>
        <n v="150"/>
        <n v="130"/>
        <n v="51"/>
        <n v="103"/>
        <n v="136"/>
        <n v="178"/>
        <n v="196"/>
        <n v="175"/>
        <n v="102"/>
        <n v="117"/>
        <n v="172"/>
        <n v="194"/>
        <n v="87"/>
        <n v="73"/>
        <n v="118"/>
        <n v="147"/>
        <n v="188"/>
        <n v="193"/>
        <n v="146"/>
        <n v="173"/>
        <n v="119"/>
        <n v="142"/>
        <n v="197"/>
        <n v="139"/>
        <n v="177"/>
        <n v="131"/>
        <n v="153"/>
        <n v="60"/>
        <n v="91"/>
        <n v="148"/>
        <n v="56"/>
        <n v="161"/>
        <n v="109"/>
        <n v="97"/>
        <n v="189"/>
        <n v="86"/>
        <n v="58"/>
        <n v="169"/>
        <n v="124"/>
        <n v="133"/>
        <n v="195"/>
        <n v="159"/>
        <n v="82"/>
        <n v="191"/>
        <n v="70"/>
        <n v="93"/>
        <n v="192"/>
        <n v="104"/>
        <n v="85"/>
        <n v="176"/>
        <n v="158"/>
        <n v="114"/>
        <n v="187"/>
        <n v="95"/>
        <n v="50"/>
        <n v="128"/>
        <n v="174"/>
        <n v="171"/>
        <n v="129"/>
        <n v="182"/>
        <n v="200"/>
        <n v="65"/>
        <n v="110"/>
        <n v="74"/>
        <n v="63"/>
        <n v="164"/>
        <n v="69"/>
        <n v="149"/>
        <n v="64"/>
        <n v="62"/>
        <n v="68"/>
        <n v="122"/>
        <n v="185"/>
        <n v="84"/>
        <n v="120"/>
        <n v="163"/>
        <n v="160"/>
        <n v="113"/>
        <n v="89"/>
        <n v="59"/>
        <n v="67"/>
        <n v="72"/>
        <n v="168"/>
        <n v="83"/>
        <n v="78"/>
        <n v="134"/>
        <n v="154"/>
        <n v="144"/>
        <n v="115"/>
        <n v="90"/>
        <n v="140"/>
        <n v="116"/>
        <n v="138"/>
        <n v="55"/>
        <n v="94"/>
      </sharedItems>
    </cacheField>
    <cacheField name="Unit Price" numFmtId="4">
      <sharedItems containsSemiMixedTypes="0" containsString="0" containsNumber="1" minValue="7.57" maxValue="499.77"/>
    </cacheField>
    <cacheField name="Supplier" numFmtId="0">
      <sharedItems count="3">
        <s v="Supplier Z"/>
        <s v="Supplier Y"/>
        <s v="Supplier X"/>
      </sharedItems>
    </cacheField>
    <cacheField name="Last Ordered Date" numFmtId="164">
      <sharedItems containsSemiMixedTypes="0" containsNonDate="0" containsDate="1" containsString="0" minDate="2023-01-01T00:00:00" maxDate="2026-10-26T00:00:00"/>
    </cacheField>
    <cacheField name="Next Restock Date" numFmtId="164">
      <sharedItems containsSemiMixedTypes="0" containsNonDate="0" containsDate="1" containsString="0" minDate="2023-06-14T00:00:00" maxDate="2027-05-09T00:00:00"/>
    </cacheField>
    <cacheField name="Warehouse Location" numFmtId="0">
      <sharedItems/>
    </cacheField>
    <cacheField name="Stock Status" numFmtId="0">
      <sharedItems count="2">
        <s v="Below Reorder"/>
        <s v="Sufficient"/>
      </sharedItems>
    </cacheField>
    <cacheField name="Stock Value" numFmtId="4">
      <sharedItems containsSemiMixedTypes="0" containsString="0" containsNumber="1" minValue="463.12" maxValue="237285.84"/>
    </cacheField>
    <cacheField name="Month of Last Order" numFmtId="0">
      <sharedItems/>
    </cacheField>
    <cacheField name="Total Value" numFmtId="4">
      <sharedItems containsSemiMixedTypes="0" containsString="0" containsNumber="1" minValue="463.12" maxValue="237285.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s v="ELE0001"/>
    <s v="Electronics Item 1"/>
    <x v="0"/>
    <x v="0"/>
    <x v="0"/>
    <n v="373.36"/>
    <x v="0"/>
    <d v="2023-01-01T00:00:00"/>
    <d v="2023-07-10T00:00:00"/>
    <s v="Warehouse B"/>
    <x v="0"/>
    <n v="54137.2"/>
    <s v="Jan-2023"/>
    <n v="54137.2"/>
  </r>
  <r>
    <s v="ELE0002"/>
    <s v="Electronics Item 2"/>
    <x v="1"/>
    <x v="1"/>
    <x v="1"/>
    <n v="361.87"/>
    <x v="1"/>
    <d v="2023-01-08T00:00:00"/>
    <d v="2023-06-14T00:00:00"/>
    <s v="Warehouse A"/>
    <x v="1"/>
    <n v="174059.47"/>
    <s v="Jan-2023"/>
    <n v="174059.47"/>
  </r>
  <r>
    <s v="ELE0003"/>
    <s v="Electronics Item 3"/>
    <x v="0"/>
    <x v="2"/>
    <x v="2"/>
    <n v="157.49"/>
    <x v="1"/>
    <d v="2023-01-15T00:00:00"/>
    <d v="2023-06-15T00:00:00"/>
    <s v="Warehouse A"/>
    <x v="1"/>
    <n v="11339.28"/>
    <s v="Jan-2023"/>
    <n v="11339.28"/>
  </r>
  <r>
    <s v="ELE0004"/>
    <s v="Electronics Item 4"/>
    <x v="0"/>
    <x v="3"/>
    <x v="3"/>
    <n v="273.56"/>
    <x v="1"/>
    <d v="2023-01-22T00:00:00"/>
    <d v="2023-08-07T00:00:00"/>
    <s v="Warehouse C"/>
    <x v="0"/>
    <n v="40486.879999999997"/>
    <s v="Jan-2023"/>
    <n v="40486.879999999997"/>
  </r>
  <r>
    <s v="ELE0005"/>
    <s v="Electronics Item 5"/>
    <x v="1"/>
    <x v="4"/>
    <x v="4"/>
    <n v="256.86"/>
    <x v="2"/>
    <d v="2023-01-29T00:00:00"/>
    <d v="2023-07-15T00:00:00"/>
    <s v="Warehouse A"/>
    <x v="0"/>
    <n v="23117.4"/>
    <s v="Jan-2023"/>
    <n v="23117.4"/>
  </r>
  <r>
    <s v="ELE0006"/>
    <s v="Electronics Item 6"/>
    <x v="1"/>
    <x v="5"/>
    <x v="5"/>
    <n v="319.98"/>
    <x v="2"/>
    <d v="2023-02-05T00:00:00"/>
    <d v="2023-07-20T00:00:00"/>
    <s v="Warehouse C"/>
    <x v="1"/>
    <n v="128311.98"/>
    <s v="Feb-2023"/>
    <n v="128311.98"/>
  </r>
  <r>
    <s v="ELE0007"/>
    <s v="Electronics Item 7"/>
    <x v="0"/>
    <x v="6"/>
    <x v="6"/>
    <n v="128.97999999999999"/>
    <x v="2"/>
    <d v="2023-02-12T00:00:00"/>
    <d v="2023-07-26T00:00:00"/>
    <s v="Warehouse B"/>
    <x v="1"/>
    <n v="22184.560000000001"/>
    <s v="Feb-2023"/>
    <n v="22184.560000000001"/>
  </r>
  <r>
    <s v="ELE0008"/>
    <s v="Electronics Item 8"/>
    <x v="2"/>
    <x v="7"/>
    <x v="7"/>
    <n v="296.99"/>
    <x v="2"/>
    <d v="2023-02-19T00:00:00"/>
    <d v="2023-07-27T00:00:00"/>
    <s v="Warehouse A"/>
    <x v="1"/>
    <n v="127111.72"/>
    <s v="Feb-2023"/>
    <n v="127111.72"/>
  </r>
  <r>
    <s v="ELE0009"/>
    <s v="Electronics Item 9"/>
    <x v="0"/>
    <x v="8"/>
    <x v="8"/>
    <n v="489.55"/>
    <x v="2"/>
    <d v="2023-02-26T00:00:00"/>
    <d v="2023-09-11T00:00:00"/>
    <s v="Warehouse C"/>
    <x v="1"/>
    <n v="145885.9"/>
    <s v="Feb-2023"/>
    <n v="145885.9"/>
  </r>
  <r>
    <s v="ELE0010"/>
    <s v="Electronics Item 10"/>
    <x v="0"/>
    <x v="9"/>
    <x v="9"/>
    <n v="245.94"/>
    <x v="0"/>
    <d v="2023-03-05T00:00:00"/>
    <d v="2023-08-08T00:00:00"/>
    <s v="Warehouse C"/>
    <x v="1"/>
    <n v="95424.72"/>
    <s v="Mar-2023"/>
    <n v="95424.72"/>
  </r>
  <r>
    <s v="ELE0011"/>
    <s v="Electronics Item 11"/>
    <x v="0"/>
    <x v="10"/>
    <x v="10"/>
    <n v="453.52"/>
    <x v="0"/>
    <d v="2023-03-12T00:00:00"/>
    <d v="2023-09-21T00:00:00"/>
    <s v="Warehouse B"/>
    <x v="1"/>
    <n v="122450.4"/>
    <s v="Mar-2023"/>
    <n v="122450.4"/>
  </r>
  <r>
    <s v="ELE0012"/>
    <s v="Electronics Item 12"/>
    <x v="0"/>
    <x v="11"/>
    <x v="5"/>
    <n v="220.03"/>
    <x v="2"/>
    <d v="2023-03-19T00:00:00"/>
    <d v="2023-10-02T00:00:00"/>
    <s v="Warehouse A"/>
    <x v="1"/>
    <n v="109794.97"/>
    <s v="Mar-2023"/>
    <n v="109794.97"/>
  </r>
  <r>
    <s v="ELE0013"/>
    <s v="Electronics Item 13"/>
    <x v="1"/>
    <x v="12"/>
    <x v="11"/>
    <n v="178.29"/>
    <x v="1"/>
    <d v="2023-03-26T00:00:00"/>
    <d v="2023-10-19T00:00:00"/>
    <s v="Warehouse A"/>
    <x v="1"/>
    <n v="42789.599999999999"/>
    <s v="Mar-2023"/>
    <n v="42789.599999999999"/>
  </r>
  <r>
    <s v="ELE0014"/>
    <s v="Electronics Item 14"/>
    <x v="0"/>
    <x v="13"/>
    <x v="12"/>
    <n v="324.33"/>
    <x v="2"/>
    <d v="2023-04-02T00:00:00"/>
    <d v="2023-10-03T00:00:00"/>
    <s v="Warehouse C"/>
    <x v="0"/>
    <n v="16216.5"/>
    <s v="Apr-2023"/>
    <n v="16216.5"/>
  </r>
  <r>
    <s v="ELE0015"/>
    <s v="Electronics Item 15"/>
    <x v="2"/>
    <x v="14"/>
    <x v="13"/>
    <n v="336.12"/>
    <x v="0"/>
    <d v="2023-04-09T00:00:00"/>
    <d v="2023-09-11T00:00:00"/>
    <s v="Warehouse A"/>
    <x v="0"/>
    <n v="12436.44"/>
    <s v="Apr-2023"/>
    <n v="12436.44"/>
  </r>
  <r>
    <s v="ELE0016"/>
    <s v="Electronics Item 16"/>
    <x v="1"/>
    <x v="15"/>
    <x v="14"/>
    <n v="432.76"/>
    <x v="0"/>
    <d v="2023-04-16T00:00:00"/>
    <d v="2023-10-20T00:00:00"/>
    <s v="Warehouse C"/>
    <x v="0"/>
    <n v="62317.440000000002"/>
    <s v="Apr-2023"/>
    <n v="62317.440000000002"/>
  </r>
  <r>
    <s v="ELE0017"/>
    <s v="Electronics Item 17"/>
    <x v="2"/>
    <x v="16"/>
    <x v="15"/>
    <n v="118.94"/>
    <x v="1"/>
    <d v="2023-04-23T00:00:00"/>
    <d v="2023-10-17T00:00:00"/>
    <s v="Warehouse A"/>
    <x v="1"/>
    <n v="24977.4"/>
    <s v="Apr-2023"/>
    <n v="24977.4"/>
  </r>
  <r>
    <s v="ELE0018"/>
    <s v="Electronics Item 18"/>
    <x v="2"/>
    <x v="17"/>
    <x v="10"/>
    <n v="252.1"/>
    <x v="0"/>
    <d v="2023-04-30T00:00:00"/>
    <d v="2023-09-29T00:00:00"/>
    <s v="Warehouse C"/>
    <x v="1"/>
    <n v="84957.7"/>
    <s v="Apr-2023"/>
    <n v="84957.7"/>
  </r>
  <r>
    <s v="ELE0019"/>
    <s v="Electronics Item 19"/>
    <x v="2"/>
    <x v="18"/>
    <x v="16"/>
    <n v="288.14"/>
    <x v="2"/>
    <d v="2023-05-07T00:00:00"/>
    <d v="2023-10-05T00:00:00"/>
    <s v="Warehouse A"/>
    <x v="1"/>
    <n v="79814.78"/>
    <s v="May-2023"/>
    <n v="79814.78"/>
  </r>
  <r>
    <s v="ELE0020"/>
    <s v="Electronics Item 20"/>
    <x v="2"/>
    <x v="19"/>
    <x v="10"/>
    <n v="385.43"/>
    <x v="1"/>
    <d v="2023-05-14T00:00:00"/>
    <d v="2023-10-16T00:00:00"/>
    <s v="Warehouse B"/>
    <x v="1"/>
    <n v="164578.60999999999"/>
    <s v="May-2023"/>
    <n v="164578.60999999999"/>
  </r>
  <r>
    <s v="ELE0021"/>
    <s v="Electronics Item 21"/>
    <x v="1"/>
    <x v="20"/>
    <x v="17"/>
    <n v="26.58"/>
    <x v="2"/>
    <d v="2023-05-21T00:00:00"/>
    <d v="2023-10-31T00:00:00"/>
    <s v="Warehouse A"/>
    <x v="0"/>
    <n v="1116.3599999999999"/>
    <s v="May-2023"/>
    <n v="1116.3599999999999"/>
  </r>
  <r>
    <s v="ELE0022"/>
    <s v="Electronics Item 22"/>
    <x v="1"/>
    <x v="21"/>
    <x v="10"/>
    <n v="497.3"/>
    <x v="2"/>
    <d v="2023-05-28T00:00:00"/>
    <d v="2023-11-08T00:00:00"/>
    <s v="Warehouse A"/>
    <x v="0"/>
    <n v="28346.1"/>
    <s v="May-2023"/>
    <n v="28346.1"/>
  </r>
  <r>
    <s v="ELE0023"/>
    <s v="Electronics Item 23"/>
    <x v="2"/>
    <x v="22"/>
    <x v="18"/>
    <n v="237.62"/>
    <x v="1"/>
    <d v="2023-06-04T00:00:00"/>
    <d v="2023-12-03T00:00:00"/>
    <s v="Warehouse B"/>
    <x v="1"/>
    <n v="98849.919999999998"/>
    <s v="Jun-2023"/>
    <n v="98849.919999999998"/>
  </r>
  <r>
    <s v="ELE0024"/>
    <s v="Electronics Item 24"/>
    <x v="2"/>
    <x v="23"/>
    <x v="14"/>
    <n v="143.38"/>
    <x v="2"/>
    <d v="2023-06-11T00:00:00"/>
    <d v="2023-12-16T00:00:00"/>
    <s v="Warehouse A"/>
    <x v="0"/>
    <n v="10179.98"/>
    <s v="Jun-2023"/>
    <n v="10179.98"/>
  </r>
  <r>
    <s v="ELE0025"/>
    <s v="Electronics Item 25"/>
    <x v="1"/>
    <x v="24"/>
    <x v="19"/>
    <n v="442.33"/>
    <x v="0"/>
    <d v="2023-06-18T00:00:00"/>
    <d v="2023-11-16T00:00:00"/>
    <s v="Warehouse B"/>
    <x v="1"/>
    <n v="99524.25"/>
    <s v="Jun-2023"/>
    <n v="99524.25"/>
  </r>
  <r>
    <s v="ELE0026"/>
    <s v="Electronics Item 26"/>
    <x v="1"/>
    <x v="25"/>
    <x v="20"/>
    <n v="375.12"/>
    <x v="2"/>
    <d v="2023-06-25T00:00:00"/>
    <d v="2023-12-27T00:00:00"/>
    <s v="Warehouse A"/>
    <x v="1"/>
    <n v="113286.24"/>
    <s v="Jun-2023"/>
    <n v="113286.24"/>
  </r>
  <r>
    <s v="ELE0027"/>
    <s v="Electronics Item 27"/>
    <x v="1"/>
    <x v="26"/>
    <x v="21"/>
    <n v="476.77"/>
    <x v="1"/>
    <d v="2023-07-02T00:00:00"/>
    <d v="2023-12-11T00:00:00"/>
    <s v="Warehouse C"/>
    <x v="0"/>
    <n v="51491.16"/>
    <s v="Jul-2023"/>
    <n v="51491.16"/>
  </r>
  <r>
    <s v="ELE0028"/>
    <s v="Electronics Item 28"/>
    <x v="0"/>
    <x v="27"/>
    <x v="22"/>
    <n v="168.72"/>
    <x v="1"/>
    <d v="2023-07-09T00:00:00"/>
    <d v="2024-01-20T00:00:00"/>
    <s v="Warehouse C"/>
    <x v="0"/>
    <n v="30538.32"/>
    <s v="Jul-2023"/>
    <n v="30538.32"/>
  </r>
  <r>
    <s v="ELE0029"/>
    <s v="Electronics Item 29"/>
    <x v="0"/>
    <x v="28"/>
    <x v="23"/>
    <n v="278.62"/>
    <x v="1"/>
    <d v="2023-07-16T00:00:00"/>
    <d v="2024-01-23T00:00:00"/>
    <s v="Warehouse A"/>
    <x v="1"/>
    <n v="102810.78"/>
    <s v="Jul-2023"/>
    <n v="102810.78"/>
  </r>
  <r>
    <s v="ELE0030"/>
    <s v="Electronics Item 30"/>
    <x v="0"/>
    <x v="29"/>
    <x v="14"/>
    <n v="288.27999999999997"/>
    <x v="2"/>
    <d v="2023-07-23T00:00:00"/>
    <d v="2024-02-02T00:00:00"/>
    <s v="Warehouse A"/>
    <x v="1"/>
    <n v="64286.44"/>
    <s v="Jul-2023"/>
    <n v="64286.44"/>
  </r>
  <r>
    <s v="ELE0031"/>
    <s v="Electronics Item 31"/>
    <x v="2"/>
    <x v="30"/>
    <x v="24"/>
    <n v="490.26"/>
    <x v="1"/>
    <d v="2023-07-30T00:00:00"/>
    <d v="2024-01-30T00:00:00"/>
    <s v="Warehouse A"/>
    <x v="1"/>
    <n v="237285.84"/>
    <s v="Jul-2023"/>
    <n v="237285.84"/>
  </r>
  <r>
    <s v="ELE0032"/>
    <s v="Electronics Item 32"/>
    <x v="0"/>
    <x v="31"/>
    <x v="25"/>
    <n v="42.3"/>
    <x v="1"/>
    <d v="2023-08-06T00:00:00"/>
    <d v="2024-01-29T00:00:00"/>
    <s v="Warehouse C"/>
    <x v="0"/>
    <n v="1861.2"/>
    <s v="Aug-2023"/>
    <n v="1861.2"/>
  </r>
  <r>
    <s v="ELE0033"/>
    <s v="Electronics Item 33"/>
    <x v="2"/>
    <x v="32"/>
    <x v="26"/>
    <n v="156.32"/>
    <x v="2"/>
    <d v="2023-08-13T00:00:00"/>
    <d v="2024-01-24T00:00:00"/>
    <s v="Warehouse A"/>
    <x v="1"/>
    <n v="71594.559999999998"/>
    <s v="Aug-2023"/>
    <n v="71594.559999999998"/>
  </r>
  <r>
    <s v="ELE0034"/>
    <s v="Electronics Item 34"/>
    <x v="2"/>
    <x v="33"/>
    <x v="27"/>
    <n v="99.5"/>
    <x v="0"/>
    <d v="2023-08-20T00:00:00"/>
    <d v="2024-02-14T00:00:00"/>
    <s v="Warehouse C"/>
    <x v="1"/>
    <n v="23482"/>
    <s v="Aug-2023"/>
    <n v="23482"/>
  </r>
  <r>
    <s v="ELE0035"/>
    <s v="Electronics Item 35"/>
    <x v="0"/>
    <x v="34"/>
    <x v="28"/>
    <n v="137.9"/>
    <x v="2"/>
    <d v="2023-08-27T00:00:00"/>
    <d v="2024-03-01T00:00:00"/>
    <s v="Warehouse B"/>
    <x v="1"/>
    <n v="15169"/>
    <s v="Aug-2023"/>
    <n v="15169"/>
  </r>
  <r>
    <s v="ELE0036"/>
    <s v="Electronics Item 36"/>
    <x v="2"/>
    <x v="35"/>
    <x v="29"/>
    <n v="245.21"/>
    <x v="1"/>
    <d v="2023-09-03T00:00:00"/>
    <d v="2024-02-17T00:00:00"/>
    <s v="Warehouse C"/>
    <x v="1"/>
    <n v="107892.4"/>
    <s v="Sep-2023"/>
    <n v="107892.4"/>
  </r>
  <r>
    <s v="ELE0037"/>
    <s v="Electronics Item 37"/>
    <x v="0"/>
    <x v="36"/>
    <x v="30"/>
    <n v="189.48"/>
    <x v="1"/>
    <d v="2023-09-10T00:00:00"/>
    <d v="2024-03-29T00:00:00"/>
    <s v="Warehouse C"/>
    <x v="1"/>
    <n v="89245.08"/>
    <s v="Sep-2023"/>
    <n v="89245.08"/>
  </r>
  <r>
    <s v="ELE0038"/>
    <s v="Electronics Item 38"/>
    <x v="0"/>
    <x v="37"/>
    <x v="1"/>
    <n v="200.37"/>
    <x v="2"/>
    <d v="2023-09-17T00:00:00"/>
    <d v="2024-04-09T00:00:00"/>
    <s v="Warehouse B"/>
    <x v="0"/>
    <n v="28051.8"/>
    <s v="Sep-2023"/>
    <n v="28051.8"/>
  </r>
  <r>
    <s v="ELE0039"/>
    <s v="Electronics Item 39"/>
    <x v="1"/>
    <x v="38"/>
    <x v="31"/>
    <n v="422.89"/>
    <x v="0"/>
    <d v="2023-09-24T00:00:00"/>
    <d v="2024-02-21T00:00:00"/>
    <s v="Warehouse C"/>
    <x v="1"/>
    <n v="112488.74"/>
    <s v="Sep-2023"/>
    <n v="112488.74"/>
  </r>
  <r>
    <s v="ELE0040"/>
    <s v="Electronics Item 40"/>
    <x v="0"/>
    <x v="39"/>
    <x v="32"/>
    <n v="465.36"/>
    <x v="1"/>
    <d v="2023-10-01T00:00:00"/>
    <d v="2024-04-16T00:00:00"/>
    <s v="Warehouse A"/>
    <x v="0"/>
    <n v="6515.04"/>
    <s v="Oct-2023"/>
    <n v="6515.04"/>
  </r>
  <r>
    <s v="ELE0041"/>
    <s v="Electronics Item 41"/>
    <x v="1"/>
    <x v="40"/>
    <x v="33"/>
    <n v="39.86"/>
    <x v="1"/>
    <d v="2023-10-08T00:00:00"/>
    <d v="2024-04-26T00:00:00"/>
    <s v="Warehouse A"/>
    <x v="1"/>
    <n v="9048.2199999999993"/>
    <s v="Oct-2023"/>
    <n v="9048.2199999999993"/>
  </r>
  <r>
    <s v="ELE0042"/>
    <s v="Electronics Item 42"/>
    <x v="0"/>
    <x v="41"/>
    <x v="34"/>
    <n v="108.41"/>
    <x v="1"/>
    <d v="2023-10-15T00:00:00"/>
    <d v="2024-03-23T00:00:00"/>
    <s v="Warehouse C"/>
    <x v="1"/>
    <n v="28620.240000000002"/>
    <s v="Oct-2023"/>
    <n v="28620.240000000002"/>
  </r>
  <r>
    <s v="ELE0043"/>
    <s v="Electronics Item 43"/>
    <x v="0"/>
    <x v="42"/>
    <x v="35"/>
    <n v="337.22"/>
    <x v="2"/>
    <d v="2023-10-22T00:00:00"/>
    <d v="2024-05-03T00:00:00"/>
    <s v="Warehouse A"/>
    <x v="1"/>
    <n v="137248.54"/>
    <s v="Oct-2023"/>
    <n v="137248.54"/>
  </r>
  <r>
    <s v="ELE0044"/>
    <s v="Electronics Item 44"/>
    <x v="1"/>
    <x v="43"/>
    <x v="36"/>
    <n v="182.53"/>
    <x v="1"/>
    <d v="2023-10-29T00:00:00"/>
    <d v="2024-04-23T00:00:00"/>
    <s v="Warehouse C"/>
    <x v="1"/>
    <n v="67171.039999999994"/>
    <s v="Oct-2023"/>
    <n v="67171.039999999994"/>
  </r>
  <r>
    <s v="ELE0045"/>
    <s v="Electronics Item 45"/>
    <x v="1"/>
    <x v="44"/>
    <x v="37"/>
    <n v="130.81"/>
    <x v="0"/>
    <d v="2023-11-05T00:00:00"/>
    <d v="2024-04-24T00:00:00"/>
    <s v="Warehouse A"/>
    <x v="1"/>
    <n v="38196.519999999997"/>
    <s v="Nov-2023"/>
    <n v="38196.519999999997"/>
  </r>
  <r>
    <s v="ELE0046"/>
    <s v="Electronics Item 46"/>
    <x v="0"/>
    <x v="45"/>
    <x v="2"/>
    <n v="151.16999999999999"/>
    <x v="1"/>
    <d v="2023-11-12T00:00:00"/>
    <d v="2024-04-27T00:00:00"/>
    <s v="Warehouse A"/>
    <x v="1"/>
    <n v="60770.34"/>
    <s v="Nov-2023"/>
    <n v="60770.34"/>
  </r>
  <r>
    <s v="ELE0047"/>
    <s v="Electronics Item 47"/>
    <x v="2"/>
    <x v="46"/>
    <x v="38"/>
    <n v="164.66"/>
    <x v="1"/>
    <d v="2023-11-19T00:00:00"/>
    <d v="2024-04-26T00:00:00"/>
    <s v="Warehouse C"/>
    <x v="1"/>
    <n v="35566.559999999998"/>
    <s v="Nov-2023"/>
    <n v="35566.559999999998"/>
  </r>
  <r>
    <s v="ELE0048"/>
    <s v="Electronics Item 48"/>
    <x v="1"/>
    <x v="47"/>
    <x v="22"/>
    <n v="425.09"/>
    <x v="0"/>
    <d v="2023-11-26T00:00:00"/>
    <d v="2024-05-07T00:00:00"/>
    <s v="Warehouse A"/>
    <x v="0"/>
    <n v="10202.16"/>
    <s v="Nov-2023"/>
    <n v="10202.16"/>
  </r>
  <r>
    <s v="ELE0049"/>
    <s v="Electronics Item 49"/>
    <x v="2"/>
    <x v="48"/>
    <x v="39"/>
    <n v="72.63"/>
    <x v="1"/>
    <d v="2023-12-03T00:00:00"/>
    <d v="2024-06-18T00:00:00"/>
    <s v="Warehouse C"/>
    <x v="1"/>
    <n v="25783.65"/>
    <s v="Dec-2023"/>
    <n v="25783.65"/>
  </r>
  <r>
    <s v="ELE0050"/>
    <s v="Electronics Item 50"/>
    <x v="2"/>
    <x v="49"/>
    <x v="22"/>
    <n v="355.91"/>
    <x v="2"/>
    <d v="2023-12-10T00:00:00"/>
    <d v="2024-05-29T00:00:00"/>
    <s v="Warehouse A"/>
    <x v="0"/>
    <n v="18151.41"/>
    <s v="Dec-2023"/>
    <n v="18151.41"/>
  </r>
  <r>
    <s v="ELE0051"/>
    <s v="Electronics Item 51"/>
    <x v="2"/>
    <x v="50"/>
    <x v="38"/>
    <n v="278.64999999999998"/>
    <x v="2"/>
    <d v="2023-12-17T00:00:00"/>
    <d v="2024-05-21T00:00:00"/>
    <s v="Warehouse A"/>
    <x v="1"/>
    <n v="108394.85"/>
    <s v="Dec-2023"/>
    <n v="108394.85"/>
  </r>
  <r>
    <s v="ELE0052"/>
    <s v="Electronics Item 52"/>
    <x v="1"/>
    <x v="51"/>
    <x v="9"/>
    <n v="151.77000000000001"/>
    <x v="2"/>
    <d v="2023-12-24T00:00:00"/>
    <d v="2024-05-27T00:00:00"/>
    <s v="Warehouse B"/>
    <x v="1"/>
    <n v="71331.899999999994"/>
    <s v="Dec-2023"/>
    <n v="71331.899999999994"/>
  </r>
  <r>
    <s v="ELE0053"/>
    <s v="Electronics Item 53"/>
    <x v="2"/>
    <x v="52"/>
    <x v="11"/>
    <n v="212.79"/>
    <x v="0"/>
    <d v="2023-12-31T00:00:00"/>
    <d v="2024-06-22T00:00:00"/>
    <s v="Warehouse B"/>
    <x v="1"/>
    <n v="40004.519999999997"/>
    <s v="Dec-2023"/>
    <n v="40004.519999999997"/>
  </r>
  <r>
    <s v="ELE0054"/>
    <s v="Electronics Item 54"/>
    <x v="1"/>
    <x v="2"/>
    <x v="40"/>
    <n v="131.82"/>
    <x v="1"/>
    <d v="2024-01-07T00:00:00"/>
    <d v="2024-06-11T00:00:00"/>
    <s v="Warehouse C"/>
    <x v="0"/>
    <n v="9491.0400000000009"/>
    <s v="Jan-2024"/>
    <n v="9491.0400000000009"/>
  </r>
  <r>
    <s v="ELE0055"/>
    <s v="Electronics Item 55"/>
    <x v="2"/>
    <x v="53"/>
    <x v="13"/>
    <n v="307.7"/>
    <x v="2"/>
    <d v="2024-01-14T00:00:00"/>
    <d v="2024-07-04T00:00:00"/>
    <s v="Warehouse B"/>
    <x v="1"/>
    <n v="111079.7"/>
    <s v="Jan-2024"/>
    <n v="111079.7"/>
  </r>
  <r>
    <s v="ELE0056"/>
    <s v="Electronics Item 56"/>
    <x v="0"/>
    <x v="12"/>
    <x v="41"/>
    <n v="45.39"/>
    <x v="0"/>
    <d v="2024-01-21T00:00:00"/>
    <d v="2024-08-12T00:00:00"/>
    <s v="Warehouse C"/>
    <x v="1"/>
    <n v="10893.6"/>
    <s v="Jan-2024"/>
    <n v="10893.6"/>
  </r>
  <r>
    <s v="ELE0057"/>
    <s v="Electronics Item 57"/>
    <x v="0"/>
    <x v="54"/>
    <x v="42"/>
    <n v="7.57"/>
    <x v="1"/>
    <d v="2024-01-28T00:00:00"/>
    <d v="2024-07-18T00:00:00"/>
    <s v="Warehouse B"/>
    <x v="1"/>
    <n v="1892.5"/>
    <s v="Jan-2024"/>
    <n v="1892.5"/>
  </r>
  <r>
    <s v="ELE0058"/>
    <s v="Electronics Item 58"/>
    <x v="1"/>
    <x v="55"/>
    <x v="21"/>
    <n v="315.81"/>
    <x v="0"/>
    <d v="2024-02-04T00:00:00"/>
    <d v="2024-08-10T00:00:00"/>
    <s v="Warehouse A"/>
    <x v="0"/>
    <n v="19264.41"/>
    <s v="Feb-2024"/>
    <n v="19264.41"/>
  </r>
  <r>
    <s v="ELE0059"/>
    <s v="Electronics Item 59"/>
    <x v="0"/>
    <x v="56"/>
    <x v="43"/>
    <n v="101.17"/>
    <x v="2"/>
    <d v="2024-02-11T00:00:00"/>
    <d v="2024-07-26T00:00:00"/>
    <s v="Warehouse C"/>
    <x v="1"/>
    <n v="10622.85"/>
    <s v="Feb-2024"/>
    <n v="10622.85"/>
  </r>
  <r>
    <s v="ELE0060"/>
    <s v="Electronics Item 60"/>
    <x v="0"/>
    <x v="57"/>
    <x v="44"/>
    <n v="40.119999999999997"/>
    <x v="2"/>
    <d v="2024-02-18T00:00:00"/>
    <d v="2024-09-06T00:00:00"/>
    <s v="Warehouse C"/>
    <x v="1"/>
    <n v="15927.64"/>
    <s v="Feb-2024"/>
    <n v="15927.64"/>
  </r>
  <r>
    <s v="ELE0061"/>
    <s v="Electronics Item 61"/>
    <x v="2"/>
    <x v="58"/>
    <x v="45"/>
    <n v="201.41"/>
    <x v="2"/>
    <d v="2024-02-25T00:00:00"/>
    <d v="2024-07-26T00:00:00"/>
    <s v="Warehouse A"/>
    <x v="1"/>
    <n v="46525.71"/>
    <s v="Feb-2024"/>
    <n v="46525.71"/>
  </r>
  <r>
    <s v="ELE0062"/>
    <s v="Electronics Item 62"/>
    <x v="1"/>
    <x v="59"/>
    <x v="46"/>
    <n v="30.13"/>
    <x v="0"/>
    <d v="2024-03-03T00:00:00"/>
    <d v="2024-09-15T00:00:00"/>
    <s v="Warehouse C"/>
    <x v="1"/>
    <n v="14884.22"/>
    <s v="Mar-2024"/>
    <n v="14884.22"/>
  </r>
  <r>
    <s v="ELE0063"/>
    <s v="Electronics Item 63"/>
    <x v="2"/>
    <x v="22"/>
    <x v="33"/>
    <n v="443.88"/>
    <x v="0"/>
    <d v="2024-03-10T00:00:00"/>
    <d v="2024-09-05T00:00:00"/>
    <s v="Warehouse C"/>
    <x v="1"/>
    <n v="184654.07999999999"/>
    <s v="Mar-2024"/>
    <n v="184654.07999999999"/>
  </r>
  <r>
    <s v="ELE0064"/>
    <s v="Electronics Item 64"/>
    <x v="2"/>
    <x v="12"/>
    <x v="39"/>
    <n v="18.670000000000002"/>
    <x v="2"/>
    <d v="2024-03-17T00:00:00"/>
    <d v="2024-09-17T00:00:00"/>
    <s v="Warehouse B"/>
    <x v="1"/>
    <n v="4480.8"/>
    <s v="Mar-2024"/>
    <n v="4480.8"/>
  </r>
  <r>
    <s v="ELE0065"/>
    <s v="Electronics Item 65"/>
    <x v="2"/>
    <x v="60"/>
    <x v="47"/>
    <n v="291.54000000000002"/>
    <x v="0"/>
    <d v="2024-03-24T00:00:00"/>
    <d v="2024-08-28T00:00:00"/>
    <s v="Warehouse C"/>
    <x v="1"/>
    <n v="71718.84"/>
    <s v="Mar-2024"/>
    <n v="71718.84"/>
  </r>
  <r>
    <s v="ELE0066"/>
    <s v="Electronics Item 66"/>
    <x v="2"/>
    <x v="61"/>
    <x v="48"/>
    <n v="222.04"/>
    <x v="2"/>
    <d v="2024-03-31T00:00:00"/>
    <d v="2024-10-26T00:00:00"/>
    <s v="Warehouse A"/>
    <x v="1"/>
    <n v="33750.080000000002"/>
    <s v="Mar-2024"/>
    <n v="33750.080000000002"/>
  </r>
  <r>
    <s v="ELE0067"/>
    <s v="Electronics Item 67"/>
    <x v="2"/>
    <x v="62"/>
    <x v="10"/>
    <n v="337.65"/>
    <x v="2"/>
    <d v="2024-04-07T00:00:00"/>
    <d v="2024-09-28T00:00:00"/>
    <s v="Warehouse B"/>
    <x v="1"/>
    <n v="60777"/>
    <s v="Apr-2024"/>
    <n v="60777"/>
  </r>
  <r>
    <s v="ELE0068"/>
    <s v="Electronics Item 68"/>
    <x v="2"/>
    <x v="63"/>
    <x v="18"/>
    <n v="167.44"/>
    <x v="1"/>
    <d v="2024-04-14T00:00:00"/>
    <d v="2024-09-16T00:00:00"/>
    <s v="Warehouse B"/>
    <x v="0"/>
    <n v="6362.72"/>
    <s v="Apr-2024"/>
    <n v="6362.72"/>
  </r>
  <r>
    <s v="ELE0069"/>
    <s v="Electronics Item 69"/>
    <x v="2"/>
    <x v="64"/>
    <x v="21"/>
    <n v="81.75"/>
    <x v="0"/>
    <d v="2024-04-21T00:00:00"/>
    <d v="2024-10-23T00:00:00"/>
    <s v="Warehouse A"/>
    <x v="0"/>
    <n v="3678.75"/>
    <s v="Apr-2024"/>
    <n v="3678.75"/>
  </r>
  <r>
    <s v="ELE0070"/>
    <s v="Electronics Item 70"/>
    <x v="1"/>
    <x v="65"/>
    <x v="49"/>
    <n v="491.01"/>
    <x v="2"/>
    <d v="2024-04-28T00:00:00"/>
    <d v="2024-10-13T00:00:00"/>
    <s v="Warehouse A"/>
    <x v="0"/>
    <n v="10802.22"/>
    <s v="Apr-2024"/>
    <n v="10802.22"/>
  </r>
  <r>
    <s v="ELE0071"/>
    <s v="Electronics Item 71"/>
    <x v="0"/>
    <x v="66"/>
    <x v="50"/>
    <n v="420.27"/>
    <x v="2"/>
    <d v="2024-05-05T00:00:00"/>
    <d v="2024-11-24T00:00:00"/>
    <s v="Warehouse B"/>
    <x v="0"/>
    <n v="71025.63"/>
    <s v="May-2024"/>
    <n v="71025.63"/>
  </r>
  <r>
    <s v="ELE0072"/>
    <s v="Electronics Item 72"/>
    <x v="2"/>
    <x v="67"/>
    <x v="51"/>
    <n v="430.9"/>
    <x v="0"/>
    <d v="2024-05-12T00:00:00"/>
    <d v="2024-11-18T00:00:00"/>
    <s v="Warehouse C"/>
    <x v="1"/>
    <n v="144782.39999999999"/>
    <s v="May-2024"/>
    <n v="144782.39999999999"/>
  </r>
  <r>
    <s v="ELE0073"/>
    <s v="Electronics Item 73"/>
    <x v="2"/>
    <x v="68"/>
    <x v="52"/>
    <n v="128.87"/>
    <x v="1"/>
    <d v="2024-05-19T00:00:00"/>
    <d v="2024-11-24T00:00:00"/>
    <s v="Warehouse B"/>
    <x v="1"/>
    <n v="25258.52"/>
    <s v="May-2024"/>
    <n v="25258.52"/>
  </r>
  <r>
    <s v="ELE0074"/>
    <s v="Electronics Item 74"/>
    <x v="2"/>
    <x v="69"/>
    <x v="45"/>
    <n v="24.22"/>
    <x v="1"/>
    <d v="2024-05-26T00:00:00"/>
    <d v="2024-12-18T00:00:00"/>
    <s v="Warehouse A"/>
    <x v="1"/>
    <n v="6103.44"/>
    <s v="May-2024"/>
    <n v="6103.44"/>
  </r>
  <r>
    <s v="ELE0075"/>
    <s v="Electronics Item 75"/>
    <x v="2"/>
    <x v="70"/>
    <x v="22"/>
    <n v="155.12"/>
    <x v="2"/>
    <d v="2024-06-02T00:00:00"/>
    <d v="2024-12-24T00:00:00"/>
    <s v="Warehouse B"/>
    <x v="0"/>
    <n v="14736.4"/>
    <s v="Jun-2024"/>
    <n v="14736.4"/>
  </r>
  <r>
    <s v="ELE0076"/>
    <s v="Electronics Item 76"/>
    <x v="2"/>
    <x v="71"/>
    <x v="49"/>
    <n v="270.86"/>
    <x v="0"/>
    <d v="2024-06-09T00:00:00"/>
    <d v="2024-11-29T00:00:00"/>
    <s v="Warehouse A"/>
    <x v="1"/>
    <n v="79361.98"/>
    <s v="Jun-2024"/>
    <n v="79361.98"/>
  </r>
  <r>
    <s v="ELE0077"/>
    <s v="Electronics Item 77"/>
    <x v="2"/>
    <x v="72"/>
    <x v="15"/>
    <n v="166.69"/>
    <x v="1"/>
    <d v="2024-06-16T00:00:00"/>
    <d v="2024-12-19T00:00:00"/>
    <s v="Warehouse B"/>
    <x v="0"/>
    <n v="12501.75"/>
    <s v="Jun-2024"/>
    <n v="12501.75"/>
  </r>
  <r>
    <s v="ELE0078"/>
    <s v="Electronics Item 78"/>
    <x v="0"/>
    <x v="73"/>
    <x v="38"/>
    <n v="414.8"/>
    <x v="0"/>
    <d v="2024-06-23T00:00:00"/>
    <d v="2024-12-02T00:00:00"/>
    <s v="Warehouse C"/>
    <x v="0"/>
    <n v="74249.2"/>
    <s v="Jun-2024"/>
    <n v="74249.2"/>
  </r>
  <r>
    <s v="ELE0079"/>
    <s v="Electronics Item 79"/>
    <x v="0"/>
    <x v="74"/>
    <x v="19"/>
    <n v="139.41"/>
    <x v="0"/>
    <d v="2024-06-30T00:00:00"/>
    <d v="2025-01-11T00:00:00"/>
    <s v="Warehouse B"/>
    <x v="0"/>
    <n v="7528.14"/>
    <s v="Jun-2024"/>
    <n v="7528.14"/>
  </r>
  <r>
    <s v="ELE0080"/>
    <s v="Electronics Item 80"/>
    <x v="2"/>
    <x v="23"/>
    <x v="53"/>
    <n v="482.8"/>
    <x v="2"/>
    <d v="2024-07-07T00:00:00"/>
    <d v="2024-12-08T00:00:00"/>
    <s v="Warehouse B"/>
    <x v="0"/>
    <n v="34278.800000000003"/>
    <s v="Jul-2024"/>
    <n v="34278.800000000003"/>
  </r>
  <r>
    <s v="ELE0081"/>
    <s v="Electronics Item 81"/>
    <x v="0"/>
    <x v="75"/>
    <x v="1"/>
    <n v="231.35"/>
    <x v="1"/>
    <d v="2024-07-14T00:00:00"/>
    <d v="2024-12-13T00:00:00"/>
    <s v="Warehouse A"/>
    <x v="1"/>
    <n v="104107.5"/>
    <s v="Jul-2024"/>
    <n v="104107.5"/>
  </r>
  <r>
    <s v="ELE0082"/>
    <s v="Electronics Item 82"/>
    <x v="1"/>
    <x v="76"/>
    <x v="54"/>
    <n v="421.8"/>
    <x v="2"/>
    <d v="2024-07-21T00:00:00"/>
    <d v="2025-01-29T00:00:00"/>
    <s v="Warehouse A"/>
    <x v="1"/>
    <n v="60317.4"/>
    <s v="Jul-2024"/>
    <n v="60317.4"/>
  </r>
  <r>
    <s v="ELE0083"/>
    <s v="Electronics Item 83"/>
    <x v="2"/>
    <x v="71"/>
    <x v="10"/>
    <n v="101.22"/>
    <x v="1"/>
    <d v="2024-07-28T00:00:00"/>
    <d v="2025-01-08T00:00:00"/>
    <s v="Warehouse A"/>
    <x v="1"/>
    <n v="29657.46"/>
    <s v="Jul-2024"/>
    <n v="29657.46"/>
  </r>
  <r>
    <s v="ELE0084"/>
    <s v="Electronics Item 84"/>
    <x v="1"/>
    <x v="14"/>
    <x v="42"/>
    <n v="208.62"/>
    <x v="1"/>
    <d v="2024-08-04T00:00:00"/>
    <d v="2025-02-19T00:00:00"/>
    <s v="Warehouse B"/>
    <x v="0"/>
    <n v="7718.94"/>
    <s v="Aug-2024"/>
    <n v="7718.94"/>
  </r>
  <r>
    <s v="ELE0085"/>
    <s v="Electronics Item 85"/>
    <x v="1"/>
    <x v="77"/>
    <x v="55"/>
    <n v="351.26"/>
    <x v="1"/>
    <d v="2024-08-11T00:00:00"/>
    <d v="2025-01-26T00:00:00"/>
    <s v="Warehouse C"/>
    <x v="0"/>
    <n v="41097.42"/>
    <s v="Aug-2024"/>
    <n v="41097.42"/>
  </r>
  <r>
    <s v="ELE0086"/>
    <s v="Electronics Item 86"/>
    <x v="2"/>
    <x v="78"/>
    <x v="47"/>
    <n v="73.48"/>
    <x v="1"/>
    <d v="2024-08-18T00:00:00"/>
    <d v="2025-01-20T00:00:00"/>
    <s v="Warehouse A"/>
    <x v="0"/>
    <n v="3894.44"/>
    <s v="Aug-2024"/>
    <n v="3894.44"/>
  </r>
  <r>
    <s v="ELE0087"/>
    <s v="Electronics Item 87"/>
    <x v="0"/>
    <x v="79"/>
    <x v="45"/>
    <n v="70.709999999999994"/>
    <x v="1"/>
    <d v="2024-08-25T00:00:00"/>
    <d v="2025-03-17T00:00:00"/>
    <s v="Warehouse A"/>
    <x v="1"/>
    <n v="24677.79"/>
    <s v="Aug-2024"/>
    <n v="24677.79"/>
  </r>
  <r>
    <s v="ELE0088"/>
    <s v="Electronics Item 88"/>
    <x v="1"/>
    <x v="80"/>
    <x v="37"/>
    <n v="484.92"/>
    <x v="0"/>
    <d v="2024-09-01T00:00:00"/>
    <d v="2025-02-12T00:00:00"/>
    <s v="Warehouse B"/>
    <x v="1"/>
    <n v="143051.4"/>
    <s v="Sep-2024"/>
    <n v="143051.4"/>
  </r>
  <r>
    <s v="ELE0089"/>
    <s v="Electronics Item 89"/>
    <x v="2"/>
    <x v="81"/>
    <x v="56"/>
    <n v="358.72"/>
    <x v="2"/>
    <d v="2024-09-08T00:00:00"/>
    <d v="2025-04-01T00:00:00"/>
    <s v="Warehouse A"/>
    <x v="1"/>
    <n v="163217.60000000001"/>
    <s v="Sep-2024"/>
    <n v="163217.60000000001"/>
  </r>
  <r>
    <s v="ELE0090"/>
    <s v="Electronics Item 90"/>
    <x v="1"/>
    <x v="82"/>
    <x v="40"/>
    <n v="25.33"/>
    <x v="0"/>
    <d v="2024-09-15T00:00:00"/>
    <d v="2025-02-18T00:00:00"/>
    <s v="Warehouse C"/>
    <x v="1"/>
    <n v="8612.2000000000007"/>
    <s v="Sep-2024"/>
    <n v="8612.2000000000007"/>
  </r>
  <r>
    <s v="ELE0091"/>
    <s v="Electronics Item 91"/>
    <x v="1"/>
    <x v="83"/>
    <x v="57"/>
    <n v="202.42"/>
    <x v="1"/>
    <d v="2024-09-22T00:00:00"/>
    <d v="2025-03-15T00:00:00"/>
    <s v="Warehouse C"/>
    <x v="0"/>
    <n v="27731.54"/>
    <s v="Sep-2024"/>
    <n v="27731.54"/>
  </r>
  <r>
    <s v="ELE0092"/>
    <s v="Electronics Item 92"/>
    <x v="1"/>
    <x v="84"/>
    <x v="41"/>
    <n v="219.59"/>
    <x v="2"/>
    <d v="2024-09-29T00:00:00"/>
    <d v="2025-03-15T00:00:00"/>
    <s v="Warehouse A"/>
    <x v="1"/>
    <n v="78393.63"/>
    <s v="Sep-2024"/>
    <n v="78393.63"/>
  </r>
  <r>
    <s v="ELE0093"/>
    <s v="Electronics Item 93"/>
    <x v="1"/>
    <x v="85"/>
    <x v="19"/>
    <n v="373.3"/>
    <x v="1"/>
    <d v="2024-10-06T00:00:00"/>
    <d v="2025-04-03T00:00:00"/>
    <s v="Warehouse A"/>
    <x v="1"/>
    <n v="179930.6"/>
    <s v="Oct-2024"/>
    <n v="179930.6"/>
  </r>
  <r>
    <s v="ELE0094"/>
    <s v="Electronics Item 94"/>
    <x v="0"/>
    <x v="12"/>
    <x v="25"/>
    <n v="129.18"/>
    <x v="2"/>
    <d v="2024-10-13T00:00:00"/>
    <d v="2025-04-21T00:00:00"/>
    <s v="Warehouse B"/>
    <x v="1"/>
    <n v="31003.200000000001"/>
    <s v="Oct-2024"/>
    <n v="31003.200000000001"/>
  </r>
  <r>
    <s v="ELE0095"/>
    <s v="Electronics Item 95"/>
    <x v="1"/>
    <x v="86"/>
    <x v="58"/>
    <n v="96.25"/>
    <x v="0"/>
    <d v="2024-10-20T00:00:00"/>
    <d v="2025-05-11T00:00:00"/>
    <s v="Warehouse C"/>
    <x v="1"/>
    <n v="19153.75"/>
    <s v="Oct-2024"/>
    <n v="19153.75"/>
  </r>
  <r>
    <s v="ELE0096"/>
    <s v="Electronics Item 96"/>
    <x v="1"/>
    <x v="87"/>
    <x v="59"/>
    <n v="45.03"/>
    <x v="2"/>
    <d v="2024-10-27T00:00:00"/>
    <d v="2025-04-18T00:00:00"/>
    <s v="Warehouse C"/>
    <x v="1"/>
    <n v="10537.02"/>
    <s v="Oct-2024"/>
    <n v="10537.02"/>
  </r>
  <r>
    <s v="ELE0097"/>
    <s v="Electronics Item 97"/>
    <x v="1"/>
    <x v="88"/>
    <x v="60"/>
    <n v="217.02"/>
    <x v="2"/>
    <d v="2024-11-03T00:00:00"/>
    <d v="2025-04-12T00:00:00"/>
    <s v="Warehouse A"/>
    <x v="1"/>
    <n v="85505.88"/>
    <s v="Nov-2024"/>
    <n v="85505.88"/>
  </r>
  <r>
    <s v="ELE0098"/>
    <s v="Electronics Item 98"/>
    <x v="0"/>
    <x v="89"/>
    <x v="49"/>
    <n v="345.81"/>
    <x v="2"/>
    <d v="2024-11-10T00:00:00"/>
    <d v="2025-05-02T00:00:00"/>
    <s v="Warehouse B"/>
    <x v="1"/>
    <n v="133482.66"/>
    <s v="Nov-2024"/>
    <n v="133482.66"/>
  </r>
  <r>
    <s v="ELE0099"/>
    <s v="Electronics Item 99"/>
    <x v="1"/>
    <x v="44"/>
    <x v="38"/>
    <n v="33.81"/>
    <x v="2"/>
    <d v="2024-11-17T00:00:00"/>
    <d v="2025-05-08T00:00:00"/>
    <s v="Warehouse C"/>
    <x v="1"/>
    <n v="9872.52"/>
    <s v="Nov-2024"/>
    <n v="9872.52"/>
  </r>
  <r>
    <s v="ELE0100"/>
    <s v="Electronics Item 100"/>
    <x v="1"/>
    <x v="81"/>
    <x v="40"/>
    <n v="458.03"/>
    <x v="2"/>
    <d v="2024-11-24T00:00:00"/>
    <d v="2025-05-06T00:00:00"/>
    <s v="Warehouse C"/>
    <x v="1"/>
    <n v="208403.65"/>
    <s v="Nov-2024"/>
    <n v="208403.65"/>
  </r>
  <r>
    <s v="ELE0101"/>
    <s v="Electronics Item 101"/>
    <x v="0"/>
    <x v="90"/>
    <x v="30"/>
    <n v="352.4"/>
    <x v="2"/>
    <d v="2024-12-01T00:00:00"/>
    <d v="2025-06-12T00:00:00"/>
    <s v="Warehouse C"/>
    <x v="1"/>
    <n v="124397.2"/>
    <s v="Dec-2024"/>
    <n v="124397.2"/>
  </r>
  <r>
    <s v="ELE0102"/>
    <s v="Electronics Item 102"/>
    <x v="1"/>
    <x v="91"/>
    <x v="61"/>
    <n v="269.39999999999998"/>
    <x v="1"/>
    <d v="2024-12-08T00:00:00"/>
    <d v="2025-05-22T00:00:00"/>
    <s v="Warehouse B"/>
    <x v="1"/>
    <n v="90249"/>
    <s v="Dec-2024"/>
    <n v="90249"/>
  </r>
  <r>
    <s v="ELE0103"/>
    <s v="Electronics Item 103"/>
    <x v="1"/>
    <x v="3"/>
    <x v="62"/>
    <n v="113.71"/>
    <x v="2"/>
    <d v="2024-12-15T00:00:00"/>
    <d v="2025-06-03T00:00:00"/>
    <s v="Warehouse A"/>
    <x v="0"/>
    <n v="16829.080000000002"/>
    <s v="Dec-2024"/>
    <n v="16829.080000000002"/>
  </r>
  <r>
    <s v="ELE0104"/>
    <s v="Electronics Item 104"/>
    <x v="1"/>
    <x v="92"/>
    <x v="17"/>
    <n v="203.58"/>
    <x v="0"/>
    <d v="2024-12-22T00:00:00"/>
    <d v="2025-05-25T00:00:00"/>
    <s v="Warehouse C"/>
    <x v="1"/>
    <n v="85910.76"/>
    <s v="Dec-2024"/>
    <n v="85910.76"/>
  </r>
  <r>
    <s v="ELE0105"/>
    <s v="Electronics Item 105"/>
    <x v="0"/>
    <x v="93"/>
    <x v="63"/>
    <n v="329.44"/>
    <x v="1"/>
    <d v="2024-12-29T00:00:00"/>
    <d v="2025-06-22T00:00:00"/>
    <s v="Warehouse A"/>
    <x v="1"/>
    <n v="56334.239999999998"/>
    <s v="Dec-2024"/>
    <n v="56334.239999999998"/>
  </r>
  <r>
    <s v="ELE0106"/>
    <s v="Electronics Item 106"/>
    <x v="0"/>
    <x v="0"/>
    <x v="64"/>
    <n v="127.08"/>
    <x v="1"/>
    <d v="2025-01-05T00:00:00"/>
    <d v="2025-07-09T00:00:00"/>
    <s v="Warehouse C"/>
    <x v="1"/>
    <n v="18426.599999999999"/>
    <s v="Jan-2025"/>
    <n v="18426.599999999999"/>
  </r>
  <r>
    <s v="ELE0107"/>
    <s v="Electronics Item 107"/>
    <x v="2"/>
    <x v="94"/>
    <x v="57"/>
    <n v="449.42"/>
    <x v="2"/>
    <d v="2025-01-12T00:00:00"/>
    <d v="2025-07-06T00:00:00"/>
    <s v="Warehouse A"/>
    <x v="1"/>
    <n v="138870.78"/>
    <s v="Jan-2025"/>
    <n v="138870.78"/>
  </r>
  <r>
    <s v="ELE0108"/>
    <s v="Electronics Item 108"/>
    <x v="1"/>
    <x v="10"/>
    <x v="65"/>
    <n v="50"/>
    <x v="2"/>
    <d v="2025-01-19T00:00:00"/>
    <d v="2025-06-21T00:00:00"/>
    <s v="Warehouse C"/>
    <x v="1"/>
    <n v="13500"/>
    <s v="Jan-2025"/>
    <n v="13500"/>
  </r>
  <r>
    <s v="ELE0109"/>
    <s v="Electronics Item 109"/>
    <x v="2"/>
    <x v="95"/>
    <x v="66"/>
    <n v="300.22000000000003"/>
    <x v="0"/>
    <d v="2025-01-26T00:00:00"/>
    <d v="2025-07-19T00:00:00"/>
    <s v="Warehouse B"/>
    <x v="0"/>
    <n v="27320.02"/>
    <s v="Jan-2025"/>
    <n v="27320.02"/>
  </r>
  <r>
    <s v="ELE0110"/>
    <s v="Electronics Item 110"/>
    <x v="1"/>
    <x v="96"/>
    <x v="67"/>
    <n v="485.68"/>
    <x v="0"/>
    <d v="2025-02-02T00:00:00"/>
    <d v="2025-08-26T00:00:00"/>
    <s v="Warehouse C"/>
    <x v="1"/>
    <n v="135990.39999999999"/>
    <s v="Feb-2025"/>
    <n v="135990.39999999999"/>
  </r>
  <r>
    <s v="ELE0111"/>
    <s v="Electronics Item 111"/>
    <x v="0"/>
    <x v="97"/>
    <x v="68"/>
    <n v="376.68"/>
    <x v="1"/>
    <d v="2025-02-09T00:00:00"/>
    <d v="2025-08-27T00:00:00"/>
    <s v="Warehouse A"/>
    <x v="0"/>
    <n v="25614.240000000002"/>
    <s v="Feb-2025"/>
    <n v="25614.240000000002"/>
  </r>
  <r>
    <s v="ELE0112"/>
    <s v="Electronics Item 112"/>
    <x v="0"/>
    <x v="98"/>
    <x v="47"/>
    <n v="83.29"/>
    <x v="0"/>
    <d v="2025-02-16T00:00:00"/>
    <d v="2025-07-16T00:00:00"/>
    <s v="Warehouse B"/>
    <x v="0"/>
    <n v="13326.4"/>
    <s v="Feb-2025"/>
    <n v="13326.4"/>
  </r>
  <r>
    <s v="ELE0113"/>
    <s v="Electronics Item 113"/>
    <x v="0"/>
    <x v="38"/>
    <x v="69"/>
    <n v="256.3"/>
    <x v="1"/>
    <d v="2025-02-23T00:00:00"/>
    <d v="2025-07-29T00:00:00"/>
    <s v="Warehouse C"/>
    <x v="1"/>
    <n v="68175.8"/>
    <s v="Feb-2025"/>
    <n v="68175.8"/>
  </r>
  <r>
    <s v="ELE0114"/>
    <s v="Electronics Item 114"/>
    <x v="1"/>
    <x v="99"/>
    <x v="6"/>
    <n v="80.66"/>
    <x v="0"/>
    <d v="2025-03-02T00:00:00"/>
    <d v="2025-09-16T00:00:00"/>
    <s v="Warehouse C"/>
    <x v="1"/>
    <n v="21697.54"/>
    <s v="Mar-2025"/>
    <n v="21697.54"/>
  </r>
  <r>
    <s v="ELE0115"/>
    <s v="Electronics Item 115"/>
    <x v="1"/>
    <x v="100"/>
    <x v="70"/>
    <n v="301.48"/>
    <x v="2"/>
    <d v="2025-03-09T00:00:00"/>
    <d v="2025-09-06T00:00:00"/>
    <s v="Warehouse B"/>
    <x v="1"/>
    <n v="144710.39999999999"/>
    <s v="Mar-2025"/>
    <n v="144710.39999999999"/>
  </r>
  <r>
    <s v="ELE0116"/>
    <s v="Electronics Item 116"/>
    <x v="0"/>
    <x v="101"/>
    <x v="71"/>
    <n v="123.53"/>
    <x v="2"/>
    <d v="2025-03-16T00:00:00"/>
    <d v="2025-08-28T00:00:00"/>
    <s v="Warehouse A"/>
    <x v="1"/>
    <n v="56700.27"/>
    <s v="Mar-2025"/>
    <n v="56700.27"/>
  </r>
  <r>
    <s v="ELE0117"/>
    <s v="Electronics Item 117"/>
    <x v="0"/>
    <x v="102"/>
    <x v="72"/>
    <n v="408.93"/>
    <x v="2"/>
    <d v="2025-03-23T00:00:00"/>
    <d v="2025-10-07T00:00:00"/>
    <s v="Warehouse A"/>
    <x v="1"/>
    <n v="157029.12"/>
    <s v="Mar-2025"/>
    <n v="157029.12"/>
  </r>
  <r>
    <s v="ELE0118"/>
    <s v="Electronics Item 118"/>
    <x v="2"/>
    <x v="103"/>
    <x v="73"/>
    <n v="473.69"/>
    <x v="0"/>
    <d v="2025-03-30T00:00:00"/>
    <d v="2025-09-06T00:00:00"/>
    <s v="Warehouse C"/>
    <x v="1"/>
    <n v="164370.43"/>
    <s v="Mar-2025"/>
    <n v="164370.43"/>
  </r>
  <r>
    <s v="ELE0119"/>
    <s v="Electronics Item 119"/>
    <x v="0"/>
    <x v="104"/>
    <x v="63"/>
    <n v="464.81"/>
    <x v="0"/>
    <d v="2025-04-06T00:00:00"/>
    <d v="2025-10-21T00:00:00"/>
    <s v="Warehouse A"/>
    <x v="1"/>
    <n v="105047.06"/>
    <s v="Apr-2025"/>
    <n v="105047.06"/>
  </r>
  <r>
    <s v="ELE0120"/>
    <s v="Electronics Item 120"/>
    <x v="0"/>
    <x v="105"/>
    <x v="74"/>
    <n v="202.5"/>
    <x v="1"/>
    <d v="2025-04-13T00:00:00"/>
    <d v="2025-10-22T00:00:00"/>
    <s v="Warehouse B"/>
    <x v="1"/>
    <n v="75937.5"/>
    <s v="Apr-2025"/>
    <n v="75937.5"/>
  </r>
  <r>
    <s v="ELE0121"/>
    <s v="Electronics Item 121"/>
    <x v="1"/>
    <x v="51"/>
    <x v="75"/>
    <n v="228.49"/>
    <x v="2"/>
    <d v="2025-04-20T00:00:00"/>
    <d v="2025-10-02T00:00:00"/>
    <s v="Warehouse B"/>
    <x v="1"/>
    <n v="107390.3"/>
    <s v="Apr-2025"/>
    <n v="107390.3"/>
  </r>
  <r>
    <s v="ELE0122"/>
    <s v="Electronics Item 122"/>
    <x v="1"/>
    <x v="106"/>
    <x v="76"/>
    <n v="279.19"/>
    <x v="2"/>
    <d v="2025-04-27T00:00:00"/>
    <d v="2025-10-31T00:00:00"/>
    <s v="Warehouse A"/>
    <x v="0"/>
    <n v="5583.8"/>
    <s v="Apr-2025"/>
    <n v="5583.8"/>
  </r>
  <r>
    <s v="ELE0123"/>
    <s v="Electronics Item 123"/>
    <x v="1"/>
    <x v="107"/>
    <x v="77"/>
    <n v="118.33"/>
    <x v="1"/>
    <d v="2025-05-04T00:00:00"/>
    <d v="2025-11-27T00:00:00"/>
    <s v="Warehouse A"/>
    <x v="1"/>
    <n v="44018.76"/>
    <s v="May-2025"/>
    <n v="44018.76"/>
  </r>
  <r>
    <s v="ELE0124"/>
    <s v="Electronics Item 124"/>
    <x v="1"/>
    <x v="108"/>
    <x v="78"/>
    <n v="142.85"/>
    <x v="0"/>
    <d v="2025-05-11T00:00:00"/>
    <d v="2025-11-08T00:00:00"/>
    <s v="Warehouse A"/>
    <x v="1"/>
    <n v="38998.050000000003"/>
    <s v="May-2025"/>
    <n v="38998.050000000003"/>
  </r>
  <r>
    <s v="ELE0125"/>
    <s v="Electronics Item 125"/>
    <x v="2"/>
    <x v="109"/>
    <x v="22"/>
    <n v="290.22000000000003"/>
    <x v="1"/>
    <d v="2025-05-18T00:00:00"/>
    <d v="2025-10-30T00:00:00"/>
    <s v="Warehouse A"/>
    <x v="1"/>
    <n v="110283.6"/>
    <s v="May-2025"/>
    <n v="110283.6"/>
  </r>
  <r>
    <s v="ELE0126"/>
    <s v="Electronics Item 126"/>
    <x v="2"/>
    <x v="110"/>
    <x v="79"/>
    <n v="331.2"/>
    <x v="1"/>
    <d v="2025-05-25T00:00:00"/>
    <d v="2025-11-13T00:00:00"/>
    <s v="Warehouse B"/>
    <x v="0"/>
    <n v="19209.599999999999"/>
    <s v="May-2025"/>
    <n v="19209.599999999999"/>
  </r>
  <r>
    <s v="ELE0127"/>
    <s v="Electronics Item 127"/>
    <x v="1"/>
    <x v="111"/>
    <x v="80"/>
    <n v="338.32"/>
    <x v="2"/>
    <d v="2025-06-01T00:00:00"/>
    <d v="2025-12-09T00:00:00"/>
    <s v="Warehouse B"/>
    <x v="1"/>
    <n v="152920.64000000001"/>
    <s v="Jun-2025"/>
    <n v="152920.64000000001"/>
  </r>
  <r>
    <s v="ELE0128"/>
    <s v="Electronics Item 128"/>
    <x v="1"/>
    <x v="112"/>
    <x v="20"/>
    <n v="401.29"/>
    <x v="2"/>
    <d v="2025-06-08T00:00:00"/>
    <d v="2025-11-11T00:00:00"/>
    <s v="Warehouse A"/>
    <x v="1"/>
    <n v="153292.78"/>
    <s v="Jun-2025"/>
    <n v="153292.78"/>
  </r>
  <r>
    <s v="ELE0129"/>
    <s v="Electronics Item 129"/>
    <x v="2"/>
    <x v="113"/>
    <x v="81"/>
    <n v="74.39"/>
    <x v="1"/>
    <d v="2025-06-15T00:00:00"/>
    <d v="2025-11-23T00:00:00"/>
    <s v="Warehouse A"/>
    <x v="1"/>
    <n v="21126.76"/>
    <s v="Jun-2025"/>
    <n v="21126.76"/>
  </r>
  <r>
    <s v="ELE0130"/>
    <s v="Electronics Item 130"/>
    <x v="0"/>
    <x v="114"/>
    <x v="82"/>
    <n v="224.35"/>
    <x v="2"/>
    <d v="2025-06-22T00:00:00"/>
    <d v="2026-01-13T00:00:00"/>
    <s v="Warehouse A"/>
    <x v="1"/>
    <n v="102527.95"/>
    <s v="Jun-2025"/>
    <n v="102527.95"/>
  </r>
  <r>
    <s v="ELE0131"/>
    <s v="Electronics Item 131"/>
    <x v="1"/>
    <x v="115"/>
    <x v="32"/>
    <n v="418.83"/>
    <x v="2"/>
    <d v="2025-06-29T00:00:00"/>
    <d v="2025-12-01T00:00:00"/>
    <s v="Warehouse B"/>
    <x v="1"/>
    <n v="143658.69"/>
    <s v="Jun-2025"/>
    <n v="143658.69"/>
  </r>
  <r>
    <s v="ELE0132"/>
    <s v="Electronics Item 132"/>
    <x v="1"/>
    <x v="116"/>
    <x v="35"/>
    <n v="110.8"/>
    <x v="2"/>
    <d v="2025-07-06T00:00:00"/>
    <d v="2025-12-28T00:00:00"/>
    <s v="Warehouse B"/>
    <x v="1"/>
    <n v="28586.400000000001"/>
    <s v="Jul-2025"/>
    <n v="28586.400000000001"/>
  </r>
  <r>
    <s v="ELE0133"/>
    <s v="Electronics Item 133"/>
    <x v="2"/>
    <x v="117"/>
    <x v="83"/>
    <n v="136.28"/>
    <x v="1"/>
    <d v="2025-07-13T00:00:00"/>
    <d v="2026-01-29T00:00:00"/>
    <s v="Warehouse B"/>
    <x v="0"/>
    <n v="1499.08"/>
    <s v="Jul-2025"/>
    <n v="1499.08"/>
  </r>
  <r>
    <s v="ELE0134"/>
    <s v="Electronics Item 134"/>
    <x v="1"/>
    <x v="118"/>
    <x v="62"/>
    <n v="332.63"/>
    <x v="2"/>
    <d v="2025-07-20T00:00:00"/>
    <d v="2026-01-17T00:00:00"/>
    <s v="Warehouse B"/>
    <x v="1"/>
    <n v="121742.58"/>
    <s v="Jul-2025"/>
    <n v="121742.58"/>
  </r>
  <r>
    <s v="ELE0135"/>
    <s v="Electronics Item 135"/>
    <x v="1"/>
    <x v="119"/>
    <x v="84"/>
    <n v="291.69"/>
    <x v="0"/>
    <d v="2025-07-27T00:00:00"/>
    <d v="2026-01-27T00:00:00"/>
    <s v="Warehouse B"/>
    <x v="1"/>
    <n v="35294.49"/>
    <s v="Jul-2025"/>
    <n v="35294.49"/>
  </r>
  <r>
    <s v="ELE0136"/>
    <s v="Electronics Item 136"/>
    <x v="0"/>
    <x v="120"/>
    <x v="85"/>
    <n v="294.17"/>
    <x v="2"/>
    <d v="2025-08-03T00:00:00"/>
    <d v="2026-02-01T00:00:00"/>
    <s v="Warehouse A"/>
    <x v="0"/>
    <n v="11472.63"/>
    <s v="Aug-2025"/>
    <n v="11472.63"/>
  </r>
  <r>
    <s v="ELE0137"/>
    <s v="Electronics Item 137"/>
    <x v="0"/>
    <x v="10"/>
    <x v="60"/>
    <n v="426.41"/>
    <x v="2"/>
    <d v="2025-08-10T00:00:00"/>
    <d v="2026-01-11T00:00:00"/>
    <s v="Warehouse C"/>
    <x v="1"/>
    <n v="115130.7"/>
    <s v="Aug-2025"/>
    <n v="115130.7"/>
  </r>
  <r>
    <s v="ELE0138"/>
    <s v="Electronics Item 138"/>
    <x v="0"/>
    <x v="121"/>
    <x v="78"/>
    <n v="204.87"/>
    <x v="2"/>
    <d v="2025-08-17T00:00:00"/>
    <d v="2026-03-15T00:00:00"/>
    <s v="Warehouse C"/>
    <x v="1"/>
    <n v="92396.37"/>
    <s v="Aug-2025"/>
    <n v="92396.37"/>
  </r>
  <r>
    <s v="ELE0139"/>
    <s v="Electronics Item 139"/>
    <x v="0"/>
    <x v="122"/>
    <x v="43"/>
    <n v="311.58999999999997"/>
    <x v="0"/>
    <d v="2025-08-24T00:00:00"/>
    <d v="2026-02-16T00:00:00"/>
    <s v="Warehouse C"/>
    <x v="1"/>
    <n v="97839.26"/>
    <s v="Aug-2025"/>
    <n v="97839.26"/>
  </r>
  <r>
    <s v="ELE0140"/>
    <s v="Electronics Item 140"/>
    <x v="0"/>
    <x v="18"/>
    <x v="17"/>
    <n v="467.68"/>
    <x v="0"/>
    <d v="2025-08-31T00:00:00"/>
    <d v="2026-02-10T00:00:00"/>
    <s v="Warehouse B"/>
    <x v="1"/>
    <n v="129547.36"/>
    <s v="Aug-2025"/>
    <n v="129547.36"/>
  </r>
  <r>
    <s v="ELE0141"/>
    <s v="Electronics Item 141"/>
    <x v="0"/>
    <x v="123"/>
    <x v="25"/>
    <n v="200.91"/>
    <x v="1"/>
    <d v="2025-09-07T00:00:00"/>
    <d v="2026-03-18T00:00:00"/>
    <s v="Warehouse B"/>
    <x v="1"/>
    <n v="26520.12"/>
    <s v="Sep-2025"/>
    <n v="26520.12"/>
  </r>
  <r>
    <s v="ELE0142"/>
    <s v="Electronics Item 142"/>
    <x v="0"/>
    <x v="93"/>
    <x v="86"/>
    <n v="9.61"/>
    <x v="2"/>
    <d v="2025-09-14T00:00:00"/>
    <d v="2026-03-22T00:00:00"/>
    <s v="Warehouse A"/>
    <x v="1"/>
    <n v="1643.31"/>
    <s v="Sep-2025"/>
    <n v="1643.31"/>
  </r>
  <r>
    <s v="ELE0143"/>
    <s v="Electronics Item 143"/>
    <x v="2"/>
    <x v="124"/>
    <x v="63"/>
    <n v="255.41"/>
    <x v="2"/>
    <d v="2025-09-21T00:00:00"/>
    <d v="2026-02-26T00:00:00"/>
    <s v="Warehouse A"/>
    <x v="1"/>
    <n v="72791.850000000006"/>
    <s v="Sep-2025"/>
    <n v="72791.850000000006"/>
  </r>
  <r>
    <s v="ELE0144"/>
    <s v="Electronics Item 144"/>
    <x v="0"/>
    <x v="86"/>
    <x v="87"/>
    <n v="83.08"/>
    <x v="0"/>
    <d v="2025-09-28T00:00:00"/>
    <d v="2026-04-19T00:00:00"/>
    <s v="Warehouse B"/>
    <x v="1"/>
    <n v="16532.919999999998"/>
    <s v="Sep-2025"/>
    <n v="16532.919999999998"/>
  </r>
  <r>
    <s v="ELE0145"/>
    <s v="Electronics Item 145"/>
    <x v="0"/>
    <x v="125"/>
    <x v="88"/>
    <n v="8.8699999999999992"/>
    <x v="1"/>
    <d v="2025-10-05T00:00:00"/>
    <d v="2026-04-25T00:00:00"/>
    <s v="Warehouse C"/>
    <x v="1"/>
    <n v="2865.01"/>
    <s v="Oct-2025"/>
    <n v="2865.01"/>
  </r>
  <r>
    <s v="ELE0146"/>
    <s v="Electronics Item 146"/>
    <x v="1"/>
    <x v="126"/>
    <x v="89"/>
    <n v="135.91"/>
    <x v="0"/>
    <d v="2025-10-12T00:00:00"/>
    <d v="2026-05-06T00:00:00"/>
    <s v="Warehouse C"/>
    <x v="0"/>
    <n v="8562.33"/>
    <s v="Oct-2025"/>
    <n v="8562.33"/>
  </r>
  <r>
    <s v="ELE0147"/>
    <s v="Electronics Item 147"/>
    <x v="0"/>
    <x v="127"/>
    <x v="36"/>
    <n v="144.47"/>
    <x v="1"/>
    <d v="2025-10-19T00:00:00"/>
    <d v="2026-03-31T00:00:00"/>
    <s v="Warehouse A"/>
    <x v="0"/>
    <n v="12857.83"/>
    <s v="Oct-2025"/>
    <n v="12857.83"/>
  </r>
  <r>
    <s v="ELE0148"/>
    <s v="Electronics Item 148"/>
    <x v="1"/>
    <x v="53"/>
    <x v="25"/>
    <n v="255.18"/>
    <x v="2"/>
    <d v="2025-10-26T00:00:00"/>
    <d v="2026-04-10T00:00:00"/>
    <s v="Warehouse C"/>
    <x v="1"/>
    <n v="92119.98"/>
    <s v="Oct-2025"/>
    <n v="92119.98"/>
  </r>
  <r>
    <s v="ELE0149"/>
    <s v="Electronics Item 149"/>
    <x v="1"/>
    <x v="104"/>
    <x v="90"/>
    <n v="26.82"/>
    <x v="0"/>
    <d v="2025-11-02T00:00:00"/>
    <d v="2026-04-22T00:00:00"/>
    <s v="Warehouse B"/>
    <x v="1"/>
    <n v="6061.32"/>
    <s v="Nov-2025"/>
    <n v="6061.32"/>
  </r>
  <r>
    <s v="ELE0150"/>
    <s v="Electronics Item 150"/>
    <x v="0"/>
    <x v="128"/>
    <x v="91"/>
    <n v="278.08"/>
    <x v="2"/>
    <d v="2025-11-09T00:00:00"/>
    <d v="2026-05-05T00:00:00"/>
    <s v="Warehouse A"/>
    <x v="0"/>
    <n v="25583.360000000001"/>
    <s v="Nov-2025"/>
    <n v="25583.360000000001"/>
  </r>
  <r>
    <s v="ELE0151"/>
    <s v="Electronics Item 151"/>
    <x v="2"/>
    <x v="129"/>
    <x v="13"/>
    <n v="275.07"/>
    <x v="0"/>
    <d v="2025-11-16T00:00:00"/>
    <d v="2026-06-07T00:00:00"/>
    <s v="Warehouse C"/>
    <x v="0"/>
    <n v="13203.36"/>
    <s v="Nov-2025"/>
    <n v="13203.36"/>
  </r>
  <r>
    <s v="ELE0152"/>
    <s v="Electronics Item 152"/>
    <x v="2"/>
    <x v="130"/>
    <x v="92"/>
    <n v="68.09"/>
    <x v="2"/>
    <d v="2025-11-23T00:00:00"/>
    <d v="2026-05-11T00:00:00"/>
    <s v="Warehouse B"/>
    <x v="0"/>
    <n v="5787.65"/>
    <s v="Nov-2025"/>
    <n v="5787.65"/>
  </r>
  <r>
    <s v="ELE0153"/>
    <s v="Electronics Item 153"/>
    <x v="0"/>
    <x v="77"/>
    <x v="93"/>
    <n v="335.13"/>
    <x v="1"/>
    <d v="2025-11-30T00:00:00"/>
    <d v="2026-05-21T00:00:00"/>
    <s v="Warehouse C"/>
    <x v="1"/>
    <n v="39210.21"/>
    <s v="Nov-2025"/>
    <n v="39210.21"/>
  </r>
  <r>
    <s v="ELE0154"/>
    <s v="Electronics Item 154"/>
    <x v="1"/>
    <x v="131"/>
    <x v="94"/>
    <n v="463.25"/>
    <x v="2"/>
    <d v="2025-12-07T00:00:00"/>
    <d v="2026-05-21T00:00:00"/>
    <s v="Warehouse B"/>
    <x v="1"/>
    <n v="182057.25"/>
    <s v="Dec-2025"/>
    <n v="182057.25"/>
  </r>
  <r>
    <s v="ELE0155"/>
    <s v="Electronics Item 155"/>
    <x v="2"/>
    <x v="65"/>
    <x v="69"/>
    <n v="369.6"/>
    <x v="0"/>
    <d v="2025-12-14T00:00:00"/>
    <d v="2026-06-03T00:00:00"/>
    <s v="Warehouse C"/>
    <x v="0"/>
    <n v="8131.2"/>
    <s v="Dec-2025"/>
    <n v="8131.2"/>
  </r>
  <r>
    <s v="ELE0156"/>
    <s v="Electronics Item 156"/>
    <x v="0"/>
    <x v="132"/>
    <x v="93"/>
    <n v="137.07"/>
    <x v="2"/>
    <d v="2025-12-21T00:00:00"/>
    <d v="2026-07-09T00:00:00"/>
    <s v="Warehouse B"/>
    <x v="1"/>
    <n v="58254.75"/>
    <s v="Dec-2025"/>
    <n v="58254.75"/>
  </r>
  <r>
    <s v="ELE0157"/>
    <s v="Electronics Item 157"/>
    <x v="1"/>
    <x v="133"/>
    <x v="95"/>
    <n v="430"/>
    <x v="1"/>
    <d v="2025-12-28T00:00:00"/>
    <d v="2026-06-10T00:00:00"/>
    <s v="Warehouse B"/>
    <x v="1"/>
    <n v="196080"/>
    <s v="Dec-2025"/>
    <n v="196080"/>
  </r>
  <r>
    <s v="ELE0158"/>
    <s v="Electronics Item 158"/>
    <x v="1"/>
    <x v="134"/>
    <x v="7"/>
    <n v="115.35"/>
    <x v="1"/>
    <d v="2026-01-04T00:00:00"/>
    <d v="2026-07-15T00:00:00"/>
    <s v="Warehouse B"/>
    <x v="1"/>
    <n v="19148.099999999999"/>
    <s v="Jan-2026"/>
    <n v="19148.099999999999"/>
  </r>
  <r>
    <s v="ELE0159"/>
    <s v="Electronics Item 159"/>
    <x v="2"/>
    <x v="61"/>
    <x v="96"/>
    <n v="483.61"/>
    <x v="0"/>
    <d v="2026-01-11T00:00:00"/>
    <d v="2026-06-27T00:00:00"/>
    <s v="Warehouse C"/>
    <x v="1"/>
    <n v="73508.72"/>
    <s v="Jan-2026"/>
    <n v="73508.72"/>
  </r>
  <r>
    <s v="ELE0160"/>
    <s v="Electronics Item 160"/>
    <x v="1"/>
    <x v="135"/>
    <x v="68"/>
    <n v="168.92"/>
    <x v="1"/>
    <d v="2026-01-18T00:00:00"/>
    <d v="2026-06-18T00:00:00"/>
    <s v="Warehouse A"/>
    <x v="1"/>
    <n v="36148.879999999997"/>
    <s v="Jan-2026"/>
    <n v="36148.879999999997"/>
  </r>
  <r>
    <s v="ELE0161"/>
    <s v="Electronics Item 161"/>
    <x v="2"/>
    <x v="136"/>
    <x v="25"/>
    <n v="23.94"/>
    <x v="1"/>
    <d v="2026-01-25T00:00:00"/>
    <d v="2026-08-01T00:00:00"/>
    <s v="Warehouse C"/>
    <x v="1"/>
    <n v="7349.58"/>
    <s v="Jan-2026"/>
    <n v="7349.58"/>
  </r>
  <r>
    <s v="ELE0162"/>
    <s v="Electronics Item 162"/>
    <x v="1"/>
    <x v="46"/>
    <x v="31"/>
    <n v="104.04"/>
    <x v="2"/>
    <d v="2026-02-01T00:00:00"/>
    <d v="2026-07-12T00:00:00"/>
    <s v="Warehouse A"/>
    <x v="1"/>
    <n v="22472.639999999999"/>
    <s v="Feb-2026"/>
    <n v="22472.639999999999"/>
  </r>
  <r>
    <s v="ELE0163"/>
    <s v="Electronics Item 163"/>
    <x v="0"/>
    <x v="137"/>
    <x v="97"/>
    <n v="129.32"/>
    <x v="0"/>
    <d v="2026-02-08T00:00:00"/>
    <d v="2026-08-01T00:00:00"/>
    <s v="Warehouse C"/>
    <x v="1"/>
    <n v="51598.68"/>
    <s v="Feb-2026"/>
    <n v="51598.68"/>
  </r>
  <r>
    <s v="ELE0164"/>
    <s v="Electronics Item 164"/>
    <x v="1"/>
    <x v="124"/>
    <x v="97"/>
    <n v="469.5"/>
    <x v="1"/>
    <d v="2026-02-15T00:00:00"/>
    <d v="2026-08-15T00:00:00"/>
    <s v="Warehouse C"/>
    <x v="1"/>
    <n v="133807.5"/>
    <s v="Feb-2026"/>
    <n v="133807.5"/>
  </r>
  <r>
    <s v="ELE0165"/>
    <s v="Electronics Item 165"/>
    <x v="2"/>
    <x v="125"/>
    <x v="76"/>
    <n v="112.26"/>
    <x v="1"/>
    <d v="2026-02-22T00:00:00"/>
    <d v="2026-09-17T00:00:00"/>
    <s v="Warehouse C"/>
    <x v="1"/>
    <n v="36259.980000000003"/>
    <s v="Feb-2026"/>
    <n v="36259.980000000003"/>
  </r>
  <r>
    <s v="ELE0166"/>
    <s v="Electronics Item 166"/>
    <x v="0"/>
    <x v="138"/>
    <x v="13"/>
    <n v="233.43"/>
    <x v="1"/>
    <d v="2026-03-01T00:00:00"/>
    <d v="2026-08-09T00:00:00"/>
    <s v="Warehouse A"/>
    <x v="1"/>
    <n v="27544.74"/>
    <s v="Mar-2026"/>
    <n v="27544.74"/>
  </r>
  <r>
    <s v="ELE0167"/>
    <s v="Electronics Item 167"/>
    <x v="2"/>
    <x v="59"/>
    <x v="88"/>
    <n v="340.3"/>
    <x v="1"/>
    <d v="2026-03-08T00:00:00"/>
    <d v="2026-08-10T00:00:00"/>
    <s v="Warehouse B"/>
    <x v="1"/>
    <n v="168108.2"/>
    <s v="Mar-2026"/>
    <n v="168108.2"/>
  </r>
  <r>
    <s v="ELE0168"/>
    <s v="Electronics Item 168"/>
    <x v="1"/>
    <x v="139"/>
    <x v="30"/>
    <n v="281.19"/>
    <x v="1"/>
    <d v="2026-03-15T00:00:00"/>
    <d v="2026-09-08T00:00:00"/>
    <s v="Warehouse C"/>
    <x v="0"/>
    <n v="8716.89"/>
    <s v="Mar-2026"/>
    <n v="8716.89"/>
  </r>
  <r>
    <s v="ELE0169"/>
    <s v="Electronics Item 169"/>
    <x v="0"/>
    <x v="49"/>
    <x v="98"/>
    <n v="261.73"/>
    <x v="1"/>
    <d v="2026-03-22T00:00:00"/>
    <d v="2026-08-31T00:00:00"/>
    <s v="Warehouse A"/>
    <x v="0"/>
    <n v="13348.23"/>
    <s v="Mar-2026"/>
    <n v="13348.23"/>
  </r>
  <r>
    <s v="ELE0170"/>
    <s v="Electronics Item 170"/>
    <x v="0"/>
    <x v="140"/>
    <x v="99"/>
    <n v="111.83"/>
    <x v="2"/>
    <d v="2026-03-29T00:00:00"/>
    <d v="2026-10-23T00:00:00"/>
    <s v="Warehouse C"/>
    <x v="1"/>
    <n v="21583.19"/>
    <s v="Mar-2026"/>
    <n v="21583.19"/>
  </r>
  <r>
    <s v="ELE0171"/>
    <s v="Electronics Item 171"/>
    <x v="0"/>
    <x v="141"/>
    <x v="91"/>
    <n v="299.73"/>
    <x v="0"/>
    <d v="2026-04-05T00:00:00"/>
    <d v="2026-09-13T00:00:00"/>
    <s v="Warehouse A"/>
    <x v="1"/>
    <n v="124387.95"/>
    <s v="Apr-2026"/>
    <n v="124387.95"/>
  </r>
  <r>
    <s v="ELE0172"/>
    <s v="Electronics Item 172"/>
    <x v="0"/>
    <x v="142"/>
    <x v="100"/>
    <n v="16.54"/>
    <x v="1"/>
    <d v="2026-04-12T00:00:00"/>
    <d v="2026-10-09T00:00:00"/>
    <s v="Warehouse A"/>
    <x v="0"/>
    <n v="463.12"/>
    <s v="Apr-2026"/>
    <n v="463.12"/>
  </r>
  <r>
    <s v="ELE0173"/>
    <s v="Electronics Item 173"/>
    <x v="2"/>
    <x v="143"/>
    <x v="66"/>
    <n v="317.85000000000002"/>
    <x v="0"/>
    <d v="2026-04-19T00:00:00"/>
    <d v="2026-09-25T00:00:00"/>
    <s v="Warehouse A"/>
    <x v="1"/>
    <n v="155428.65"/>
    <s v="Apr-2026"/>
    <n v="155428.65"/>
  </r>
  <r>
    <s v="ELE0174"/>
    <s v="Electronics Item 174"/>
    <x v="1"/>
    <x v="144"/>
    <x v="101"/>
    <n v="72.23"/>
    <x v="2"/>
    <d v="2026-04-26T00:00:00"/>
    <d v="2026-10-18T00:00:00"/>
    <s v="Warehouse C"/>
    <x v="1"/>
    <n v="14807.15"/>
    <s v="Apr-2026"/>
    <n v="14807.15"/>
  </r>
  <r>
    <s v="ELE0175"/>
    <s v="Electronics Item 175"/>
    <x v="1"/>
    <x v="138"/>
    <x v="91"/>
    <n v="132.5"/>
    <x v="1"/>
    <d v="2026-05-03T00:00:00"/>
    <d v="2026-10-25T00:00:00"/>
    <s v="Warehouse C"/>
    <x v="0"/>
    <n v="15635"/>
    <s v="May-2026"/>
    <n v="15635"/>
  </r>
  <r>
    <s v="ELE0176"/>
    <s v="Electronics Item 176"/>
    <x v="0"/>
    <x v="145"/>
    <x v="84"/>
    <n v="69.81"/>
    <x v="0"/>
    <d v="2026-05-10T00:00:00"/>
    <d v="2026-12-01T00:00:00"/>
    <s v="Warehouse C"/>
    <x v="1"/>
    <n v="17661.93"/>
    <s v="May-2026"/>
    <n v="17661.93"/>
  </r>
  <r>
    <s v="ELE0177"/>
    <s v="Electronics Item 177"/>
    <x v="1"/>
    <x v="146"/>
    <x v="102"/>
    <n v="66.56"/>
    <x v="1"/>
    <d v="2026-05-17T00:00:00"/>
    <d v="2026-10-21T00:00:00"/>
    <s v="Warehouse A"/>
    <x v="0"/>
    <n v="5790.72"/>
    <s v="May-2026"/>
    <n v="5790.72"/>
  </r>
  <r>
    <s v="ELE0178"/>
    <s v="Electronics Item 178"/>
    <x v="0"/>
    <x v="147"/>
    <x v="102"/>
    <n v="77.03"/>
    <x v="1"/>
    <d v="2026-05-24T00:00:00"/>
    <d v="2026-11-03T00:00:00"/>
    <s v="Warehouse B"/>
    <x v="0"/>
    <n v="7703"/>
    <s v="May-2026"/>
    <n v="7703"/>
  </r>
  <r>
    <s v="ELE0179"/>
    <s v="Electronics Item 179"/>
    <x v="2"/>
    <x v="148"/>
    <x v="48"/>
    <n v="423.83"/>
    <x v="2"/>
    <d v="2026-05-31T00:00:00"/>
    <d v="2026-11-04T00:00:00"/>
    <s v="Warehouse C"/>
    <x v="1"/>
    <n v="177160.94"/>
    <s v="May-2026"/>
    <n v="177160.94"/>
  </r>
  <r>
    <s v="ELE0180"/>
    <s v="Electronics Item 180"/>
    <x v="1"/>
    <x v="149"/>
    <x v="21"/>
    <n v="147.41999999999999"/>
    <x v="1"/>
    <d v="2026-06-07T00:00:00"/>
    <d v="2026-12-11T00:00:00"/>
    <s v="Warehouse A"/>
    <x v="0"/>
    <n v="6928.74"/>
    <s v="Jun-2026"/>
    <n v="6928.74"/>
  </r>
  <r>
    <s v="ELE0181"/>
    <s v="Electronics Item 181"/>
    <x v="2"/>
    <x v="150"/>
    <x v="3"/>
    <n v="171.69"/>
    <x v="1"/>
    <d v="2026-06-14T00:00:00"/>
    <d v="2027-01-01T00:00:00"/>
    <s v="Warehouse B"/>
    <x v="1"/>
    <n v="34853.07"/>
    <s v="Jun-2026"/>
    <n v="34853.07"/>
  </r>
  <r>
    <s v="ELE0182"/>
    <s v="Electronics Item 182"/>
    <x v="1"/>
    <x v="151"/>
    <x v="103"/>
    <n v="269.51"/>
    <x v="1"/>
    <d v="2026-06-21T00:00:00"/>
    <d v="2026-11-29T00:00:00"/>
    <s v="Warehouse C"/>
    <x v="1"/>
    <n v="114811.26"/>
    <s v="Jun-2026"/>
    <n v="114811.26"/>
  </r>
  <r>
    <s v="ELE0183"/>
    <s v="Electronics Item 183"/>
    <x v="2"/>
    <x v="152"/>
    <x v="3"/>
    <n v="386.56"/>
    <x v="0"/>
    <d v="2026-06-28T00:00:00"/>
    <d v="2026-12-09T00:00:00"/>
    <s v="Warehouse A"/>
    <x v="1"/>
    <n v="173178.88"/>
    <s v="Jun-2026"/>
    <n v="173178.88"/>
  </r>
  <r>
    <s v="ELE0184"/>
    <s v="Electronics Item 184"/>
    <x v="0"/>
    <x v="153"/>
    <x v="74"/>
    <n v="57.35"/>
    <x v="1"/>
    <d v="2026-07-05T00:00:00"/>
    <d v="2027-01-15T00:00:00"/>
    <s v="Warehouse A"/>
    <x v="1"/>
    <n v="19728.400000000001"/>
    <s v="Jul-2026"/>
    <n v="19728.400000000001"/>
  </r>
  <r>
    <s v="ELE0185"/>
    <s v="Electronics Item 185"/>
    <x v="1"/>
    <x v="5"/>
    <x v="93"/>
    <n v="194.86"/>
    <x v="1"/>
    <d v="2026-07-12T00:00:00"/>
    <d v="2027-01-06T00:00:00"/>
    <s v="Warehouse B"/>
    <x v="1"/>
    <n v="78138.86"/>
    <s v="Jul-2026"/>
    <n v="78138.86"/>
  </r>
  <r>
    <s v="ELE0186"/>
    <s v="Electronics Item 186"/>
    <x v="0"/>
    <x v="154"/>
    <x v="104"/>
    <n v="39.49"/>
    <x v="1"/>
    <d v="2026-07-19T00:00:00"/>
    <d v="2027-01-03T00:00:00"/>
    <s v="Warehouse B"/>
    <x v="1"/>
    <n v="18718.259999999998"/>
    <s v="Jul-2026"/>
    <n v="18718.259999999998"/>
  </r>
  <r>
    <s v="ELE0187"/>
    <s v="Electronics Item 187"/>
    <x v="2"/>
    <x v="155"/>
    <x v="58"/>
    <n v="465.27"/>
    <x v="1"/>
    <d v="2026-07-26T00:00:00"/>
    <d v="2027-01-08T00:00:00"/>
    <s v="Warehouse B"/>
    <x v="1"/>
    <n v="131671.41"/>
    <s v="Jul-2026"/>
    <n v="131671.41"/>
  </r>
  <r>
    <s v="ELE0188"/>
    <s v="Electronics Item 188"/>
    <x v="0"/>
    <x v="103"/>
    <x v="105"/>
    <n v="144.72999999999999"/>
    <x v="0"/>
    <d v="2026-08-02T00:00:00"/>
    <d v="2027-02-11T00:00:00"/>
    <s v="Warehouse C"/>
    <x v="1"/>
    <n v="50221.31"/>
    <s v="Aug-2026"/>
    <n v="50221.31"/>
  </r>
  <r>
    <s v="ELE0189"/>
    <s v="Electronics Item 189"/>
    <x v="1"/>
    <x v="156"/>
    <x v="10"/>
    <n v="101.26"/>
    <x v="1"/>
    <d v="2026-08-09T00:00:00"/>
    <d v="2027-01-27T00:00:00"/>
    <s v="Warehouse A"/>
    <x v="1"/>
    <n v="35542.26"/>
    <s v="Aug-2026"/>
    <n v="35542.26"/>
  </r>
  <r>
    <s v="ELE0190"/>
    <s v="Electronics Item 190"/>
    <x v="1"/>
    <x v="156"/>
    <x v="106"/>
    <n v="348.7"/>
    <x v="0"/>
    <d v="2026-08-16T00:00:00"/>
    <d v="2027-03-08T00:00:00"/>
    <s v="Warehouse C"/>
    <x v="1"/>
    <n v="122393.7"/>
    <s v="Aug-2026"/>
    <n v="122393.7"/>
  </r>
  <r>
    <s v="ELE0191"/>
    <s v="Electronics Item 191"/>
    <x v="0"/>
    <x v="157"/>
    <x v="107"/>
    <n v="330.3"/>
    <x v="2"/>
    <d v="2026-08-23T00:00:00"/>
    <d v="2027-03-08T00:00:00"/>
    <s v="Warehouse B"/>
    <x v="0"/>
    <n v="32039.1"/>
    <s v="Aug-2026"/>
    <n v="32039.1"/>
  </r>
  <r>
    <s v="ELE0192"/>
    <s v="Electronics Item 192"/>
    <x v="1"/>
    <x v="75"/>
    <x v="108"/>
    <n v="330"/>
    <x v="0"/>
    <d v="2026-08-30T00:00:00"/>
    <d v="2027-01-27T00:00:00"/>
    <s v="Warehouse C"/>
    <x v="1"/>
    <n v="148500"/>
    <s v="Aug-2026"/>
    <n v="148500"/>
  </r>
  <r>
    <s v="ELE0193"/>
    <s v="Electronics Item 193"/>
    <x v="0"/>
    <x v="158"/>
    <x v="70"/>
    <n v="263.44"/>
    <x v="0"/>
    <d v="2026-09-06T00:00:00"/>
    <d v="2027-04-04T00:00:00"/>
    <s v="Warehouse A"/>
    <x v="1"/>
    <n v="29768.720000000001"/>
    <s v="Sep-2026"/>
    <n v="29768.720000000001"/>
  </r>
  <r>
    <s v="ELE0194"/>
    <s v="Electronics Item 194"/>
    <x v="0"/>
    <x v="159"/>
    <x v="91"/>
    <n v="466.88"/>
    <x v="0"/>
    <d v="2026-09-13T00:00:00"/>
    <d v="2027-02-26T00:00:00"/>
    <s v="Warehouse B"/>
    <x v="1"/>
    <n v="126524.48"/>
    <s v="Sep-2026"/>
    <n v="126524.48"/>
  </r>
  <r>
    <s v="ELE0195"/>
    <s v="Electronics Item 195"/>
    <x v="0"/>
    <x v="160"/>
    <x v="33"/>
    <n v="267.86"/>
    <x v="0"/>
    <d v="2026-09-20T00:00:00"/>
    <d v="2027-03-28T00:00:00"/>
    <s v="Warehouse B"/>
    <x v="1"/>
    <n v="66697.14"/>
    <s v="Sep-2026"/>
    <n v="66697.14"/>
  </r>
  <r>
    <s v="ELE0196"/>
    <s v="Electronics Item 196"/>
    <x v="2"/>
    <x v="161"/>
    <x v="109"/>
    <n v="499.77"/>
    <x v="2"/>
    <d v="2026-09-27T00:00:00"/>
    <d v="2027-04-16T00:00:00"/>
    <s v="Warehouse C"/>
    <x v="1"/>
    <n v="55974.239999999998"/>
    <s v="Sep-2026"/>
    <n v="55974.239999999998"/>
  </r>
  <r>
    <s v="ELE0197"/>
    <s v="Electronics Item 197"/>
    <x v="0"/>
    <x v="162"/>
    <x v="84"/>
    <n v="211.3"/>
    <x v="0"/>
    <d v="2026-10-04T00:00:00"/>
    <d v="2027-03-26T00:00:00"/>
    <s v="Warehouse C"/>
    <x v="0"/>
    <n v="5493.8"/>
    <s v="Oct-2026"/>
    <n v="5493.8"/>
  </r>
  <r>
    <s v="ELE0198"/>
    <s v="Electronics Item 198"/>
    <x v="1"/>
    <x v="163"/>
    <x v="38"/>
    <n v="151.11000000000001"/>
    <x v="1"/>
    <d v="2026-10-11T00:00:00"/>
    <d v="2027-04-27T00:00:00"/>
    <s v="Warehouse B"/>
    <x v="1"/>
    <n v="46995.21"/>
    <s v="Oct-2026"/>
    <n v="46995.21"/>
  </r>
  <r>
    <s v="ELE0199"/>
    <s v="Electronics Item 199"/>
    <x v="1"/>
    <x v="164"/>
    <x v="110"/>
    <n v="136.08000000000001"/>
    <x v="2"/>
    <d v="2026-10-18T00:00:00"/>
    <d v="2027-04-07T00:00:00"/>
    <s v="Warehouse B"/>
    <x v="1"/>
    <n v="56337.120000000003"/>
    <s v="Oct-2026"/>
    <n v="56337.120000000003"/>
  </r>
  <r>
    <s v="ELE0200"/>
    <s v="Electronics Item 200"/>
    <x v="1"/>
    <x v="165"/>
    <x v="83"/>
    <n v="211.99"/>
    <x v="1"/>
    <d v="2026-10-25T00:00:00"/>
    <d v="2027-05-08T00:00:00"/>
    <s v="Warehouse B"/>
    <x v="1"/>
    <n v="96243.46"/>
    <s v="Oct-2026"/>
    <n v="96243.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I38:L43" firstHeaderRow="1" firstDataRow="2" firstDataCol="1"/>
  <pivotFields count="14">
    <pivotField showAll="0"/>
    <pivotField showAll="0"/>
    <pivotField showAll="0"/>
    <pivotField numFmtId="3" showAll="0"/>
    <pivotField numFmtId="3" showAll="0"/>
    <pivotField numFmtId="4" showAll="0"/>
    <pivotField axis="axisRow" showAll="0">
      <items count="4">
        <item x="2"/>
        <item x="1"/>
        <item x="0"/>
        <item t="default"/>
      </items>
    </pivotField>
    <pivotField numFmtId="164" showAll="0"/>
    <pivotField numFmtId="164" showAll="0"/>
    <pivotField showAll="0"/>
    <pivotField axis="axisCol" showAll="0">
      <items count="3">
        <item x="0"/>
        <item x="1"/>
        <item t="default"/>
      </items>
    </pivotField>
    <pivotField dataField="1" numFmtId="4" showAll="0"/>
    <pivotField showAll="0"/>
    <pivotField numFmtId="4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Sum of Stock Value" fld="11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I29:L34" firstHeaderRow="1" firstDataRow="2" firstDataCol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3" showAll="0"/>
    <pivotField numFmtId="3" showAll="0"/>
    <pivotField numFmtId="4" showAll="0"/>
    <pivotField showAll="0"/>
    <pivotField numFmtId="164" showAll="0"/>
    <pivotField numFmtId="164" showAll="0"/>
    <pivotField showAll="0"/>
    <pivotField axis="axisCol" showAll="0">
      <items count="3">
        <item x="0"/>
        <item x="1"/>
        <item t="default"/>
      </items>
    </pivotField>
    <pivotField dataField="1" numFmtId="4" showAll="0"/>
    <pivotField showAll="0"/>
    <pivotField numFmtId="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Total Stock Value" fld="11" baseField="0" baseItem="0" numFmtId="2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2" count="0"/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1">
          <reference field="10" count="0"/>
        </references>
      </pivotArea>
    </format>
    <format dxfId="7">
      <pivotArea dataOnly="0" labelOnly="1" grandCol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M11:Q16" firstHeaderRow="1" firstDataRow="2" firstDataCol="1"/>
  <pivotFields count="14">
    <pivotField showAll="0"/>
    <pivotField showAll="0"/>
    <pivotField axis="axisCol" showAll="0">
      <items count="4">
        <item x="1"/>
        <item x="2"/>
        <item x="0"/>
        <item t="default"/>
      </items>
    </pivotField>
    <pivotField dataField="1" numFmtId="3" showAll="0">
      <items count="167">
        <item x="117"/>
        <item x="39"/>
        <item x="106"/>
        <item x="65"/>
        <item x="47"/>
        <item x="162"/>
        <item x="142"/>
        <item x="139"/>
        <item x="14"/>
        <item x="63"/>
        <item x="120"/>
        <item x="20"/>
        <item x="31"/>
        <item x="64"/>
        <item x="149"/>
        <item x="129"/>
        <item x="13"/>
        <item x="49"/>
        <item x="78"/>
        <item x="74"/>
        <item x="21"/>
        <item x="110"/>
        <item x="55"/>
        <item x="126"/>
        <item x="97"/>
        <item x="23"/>
        <item x="2"/>
        <item x="72"/>
        <item x="130"/>
        <item x="146"/>
        <item x="127"/>
        <item x="4"/>
        <item x="95"/>
        <item x="128"/>
        <item x="70"/>
        <item x="157"/>
        <item x="147"/>
        <item x="56"/>
        <item x="26"/>
        <item x="34"/>
        <item x="161"/>
        <item x="158"/>
        <item x="77"/>
        <item x="138"/>
        <item x="119"/>
        <item x="123"/>
        <item x="83"/>
        <item x="37"/>
        <item x="76"/>
        <item x="15"/>
        <item x="0"/>
        <item x="3"/>
        <item x="61"/>
        <item x="98"/>
        <item x="134"/>
        <item x="66"/>
        <item x="93"/>
        <item x="6"/>
        <item x="73"/>
        <item x="62"/>
        <item x="27"/>
        <item x="52"/>
        <item x="140"/>
        <item x="68"/>
        <item x="86"/>
        <item x="150"/>
        <item x="144"/>
        <item x="16"/>
        <item x="135"/>
        <item x="46"/>
        <item x="29"/>
        <item x="24"/>
        <item x="104"/>
        <item x="40"/>
        <item x="58"/>
        <item x="87"/>
        <item x="33"/>
        <item x="12"/>
        <item x="60"/>
        <item x="160"/>
        <item x="54"/>
        <item x="69"/>
        <item x="145"/>
        <item x="116"/>
        <item x="41"/>
        <item x="38"/>
        <item x="99"/>
        <item x="10"/>
        <item x="159"/>
        <item x="108"/>
        <item x="18"/>
        <item x="96"/>
        <item x="155"/>
        <item x="113"/>
        <item x="124"/>
        <item x="44"/>
        <item x="71"/>
        <item x="80"/>
        <item x="8"/>
        <item x="25"/>
        <item x="136"/>
        <item x="94"/>
        <item x="163"/>
        <item x="122"/>
        <item x="125"/>
        <item x="91"/>
        <item x="67"/>
        <item x="17"/>
        <item x="82"/>
        <item x="115"/>
        <item x="153"/>
        <item x="103"/>
        <item x="79"/>
        <item x="156"/>
        <item x="90"/>
        <item x="48"/>
        <item x="84"/>
        <item x="53"/>
        <item x="118"/>
        <item x="43"/>
        <item x="28"/>
        <item x="107"/>
        <item x="105"/>
        <item x="109"/>
        <item x="112"/>
        <item x="102"/>
        <item x="89"/>
        <item x="9"/>
        <item x="50"/>
        <item x="131"/>
        <item x="88"/>
        <item x="57"/>
        <item x="137"/>
        <item x="5"/>
        <item x="45"/>
        <item x="42"/>
        <item x="164"/>
        <item x="141"/>
        <item x="22"/>
        <item x="148"/>
        <item x="92"/>
        <item x="132"/>
        <item x="151"/>
        <item x="19"/>
        <item x="7"/>
        <item x="35"/>
        <item x="152"/>
        <item x="75"/>
        <item x="121"/>
        <item x="111"/>
        <item x="165"/>
        <item x="81"/>
        <item x="133"/>
        <item x="114"/>
        <item x="32"/>
        <item x="101"/>
        <item x="51"/>
        <item x="36"/>
        <item x="154"/>
        <item x="100"/>
        <item x="1"/>
        <item x="85"/>
        <item x="30"/>
        <item x="143"/>
        <item x="59"/>
        <item x="11"/>
        <item t="default"/>
      </items>
    </pivotField>
    <pivotField numFmtId="3" showAll="0"/>
    <pivotField numFmtId="4" showAll="0"/>
    <pivotField axis="axisRow" showAll="0">
      <items count="4"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numFmtId="4" showAll="0"/>
    <pivotField showAll="0"/>
    <pivotField numFmtId="4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Stock Quantity" fld="3" baseField="6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L23:P27" firstHeaderRow="1" firstDataRow="2" firstDataCol="1"/>
  <pivotFields count="14">
    <pivotField showAll="0"/>
    <pivotField showAll="0"/>
    <pivotField axis="axisCol" showAll="0">
      <items count="4">
        <item x="1"/>
        <item x="2"/>
        <item x="0"/>
        <item t="default"/>
      </items>
    </pivotField>
    <pivotField numFmtId="3" showAll="0"/>
    <pivotField numFmtId="3" showAll="0"/>
    <pivotField numFmtId="4" showAll="0"/>
    <pivotField showAll="0"/>
    <pivotField numFmtId="164" showAll="0"/>
    <pivotField numFmtId="164" showAll="0"/>
    <pivotField showAll="0"/>
    <pivotField axis="axisRow" showAll="0">
      <items count="3">
        <item x="0"/>
        <item x="1"/>
        <item t="default"/>
      </items>
    </pivotField>
    <pivotField dataField="1" numFmtId="4" showAll="0"/>
    <pivotField showAll="0"/>
    <pivotField numFmtId="4" showAll="0"/>
  </pivotFields>
  <rowFields count="1">
    <field x="10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Stock Value" fld="11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0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0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0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0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0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0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0" count="1" selected="0">
            <x v="0"/>
          </reference>
        </references>
      </pivotArea>
    </chartFormat>
    <chartFormat chart="4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0" count="1" selected="0">
            <x v="1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0" count="1" selected="0">
            <x v="0"/>
          </reference>
        </references>
      </pivotArea>
    </chartFormat>
    <chartFormat chart="4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0" count="1" selected="0">
            <x v="1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0" count="1" selected="0">
            <x v="0"/>
          </reference>
        </references>
      </pivotArea>
    </chartFormat>
    <chartFormat chart="4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L12:P17" firstHeaderRow="1" firstDataRow="2" firstDataCol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3" showAll="0"/>
    <pivotField numFmtId="3" showAll="0"/>
    <pivotField numFmtId="4" showAll="0"/>
    <pivotField axis="axisCol" showAll="0">
      <items count="4"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dataField="1" numFmtId="4" showAll="0"/>
    <pivotField showAll="0"/>
    <pivotField numFmtId="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Stock Val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"/>
  <sheetViews>
    <sheetView topLeftCell="C1" zoomScaleNormal="100" workbookViewId="0">
      <pane ySplit="1" topLeftCell="A182" activePane="bottomLeft" state="frozen"/>
      <selection pane="bottomLeft" activeCell="G207" sqref="G207"/>
    </sheetView>
  </sheetViews>
  <sheetFormatPr defaultColWidth="8.6640625" defaultRowHeight="14.4" x14ac:dyDescent="0.3"/>
  <cols>
    <col min="1" max="1" width="12" customWidth="1"/>
    <col min="2" max="2" width="22" customWidth="1"/>
    <col min="3" max="3" width="14" customWidth="1"/>
    <col min="4" max="4" width="16" customWidth="1"/>
    <col min="5" max="5" width="14" customWidth="1"/>
    <col min="6" max="7" width="13" customWidth="1"/>
    <col min="8" max="10" width="18" customWidth="1"/>
    <col min="11" max="12" width="15" customWidth="1"/>
    <col min="13" max="13" width="18" customWidth="1"/>
    <col min="14" max="14" width="15" customWidth="1"/>
  </cols>
  <sheetData>
    <row r="1" spans="1:14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3" t="s">
        <v>14</v>
      </c>
      <c r="B2" s="23" t="s">
        <v>15</v>
      </c>
      <c r="C2" s="23" t="s">
        <v>23</v>
      </c>
      <c r="D2" s="24">
        <v>337</v>
      </c>
      <c r="E2" s="24">
        <v>78</v>
      </c>
      <c r="F2" s="25">
        <v>17.38</v>
      </c>
      <c r="G2" s="23" t="s">
        <v>34</v>
      </c>
      <c r="H2" s="26">
        <v>44927</v>
      </c>
      <c r="I2" s="26">
        <v>45094</v>
      </c>
      <c r="J2" s="23" t="s">
        <v>25</v>
      </c>
      <c r="K2" s="27" t="s">
        <v>26</v>
      </c>
      <c r="L2" s="25">
        <v>5857.06</v>
      </c>
      <c r="M2" s="23" t="s">
        <v>20</v>
      </c>
      <c r="N2" s="25">
        <v>5857.06</v>
      </c>
    </row>
    <row r="3" spans="1:14" x14ac:dyDescent="0.3">
      <c r="A3" s="28" t="s">
        <v>21</v>
      </c>
      <c r="B3" s="28" t="s">
        <v>22</v>
      </c>
      <c r="C3" s="28" t="s">
        <v>16</v>
      </c>
      <c r="D3" s="29">
        <v>387</v>
      </c>
      <c r="E3" s="29">
        <v>76</v>
      </c>
      <c r="F3" s="30">
        <v>339.97</v>
      </c>
      <c r="G3" s="28" t="s">
        <v>34</v>
      </c>
      <c r="H3" s="31">
        <v>44933</v>
      </c>
      <c r="I3" s="31">
        <v>45140</v>
      </c>
      <c r="J3" s="28" t="s">
        <v>31</v>
      </c>
      <c r="K3" s="27" t="s">
        <v>26</v>
      </c>
      <c r="L3" s="30">
        <v>131568.39000000001</v>
      </c>
      <c r="M3" s="28" t="s">
        <v>20</v>
      </c>
      <c r="N3" s="30">
        <v>131568.39000000001</v>
      </c>
    </row>
    <row r="4" spans="1:14" x14ac:dyDescent="0.3">
      <c r="A4" s="23" t="s">
        <v>27</v>
      </c>
      <c r="B4" s="23" t="s">
        <v>28</v>
      </c>
      <c r="C4" s="23" t="s">
        <v>23</v>
      </c>
      <c r="D4" s="24">
        <v>226</v>
      </c>
      <c r="E4" s="24">
        <v>58</v>
      </c>
      <c r="F4" s="25">
        <v>19.75</v>
      </c>
      <c r="G4" s="23" t="s">
        <v>17</v>
      </c>
      <c r="H4" s="26">
        <v>44939</v>
      </c>
      <c r="I4" s="26">
        <v>45102</v>
      </c>
      <c r="J4" s="23" t="s">
        <v>31</v>
      </c>
      <c r="K4" s="27" t="s">
        <v>26</v>
      </c>
      <c r="L4" s="25">
        <v>4463.5</v>
      </c>
      <c r="M4" s="23" t="s">
        <v>20</v>
      </c>
      <c r="N4" s="25">
        <v>4463.5</v>
      </c>
    </row>
    <row r="5" spans="1:14" x14ac:dyDescent="0.3">
      <c r="A5" s="28" t="s">
        <v>29</v>
      </c>
      <c r="B5" s="28" t="s">
        <v>30</v>
      </c>
      <c r="C5" s="28" t="s">
        <v>16</v>
      </c>
      <c r="D5" s="29">
        <v>23</v>
      </c>
      <c r="E5" s="29">
        <v>193</v>
      </c>
      <c r="F5" s="30">
        <v>103.42</v>
      </c>
      <c r="G5" s="28" t="s">
        <v>17</v>
      </c>
      <c r="H5" s="31">
        <v>44945</v>
      </c>
      <c r="I5" s="31">
        <v>45136</v>
      </c>
      <c r="J5" s="28" t="s">
        <v>18</v>
      </c>
      <c r="K5" s="32" t="s">
        <v>19</v>
      </c>
      <c r="L5" s="30">
        <v>2378.66</v>
      </c>
      <c r="M5" s="28" t="s">
        <v>20</v>
      </c>
      <c r="N5" s="30">
        <v>2378.66</v>
      </c>
    </row>
    <row r="6" spans="1:14" x14ac:dyDescent="0.3">
      <c r="A6" s="23" t="s">
        <v>32</v>
      </c>
      <c r="B6" s="23" t="s">
        <v>33</v>
      </c>
      <c r="C6" s="23" t="s">
        <v>23</v>
      </c>
      <c r="D6" s="24">
        <v>122</v>
      </c>
      <c r="E6" s="24">
        <v>164</v>
      </c>
      <c r="F6" s="25">
        <v>296.69</v>
      </c>
      <c r="G6" s="23" t="s">
        <v>34</v>
      </c>
      <c r="H6" s="26">
        <v>44951</v>
      </c>
      <c r="I6" s="26">
        <v>45152</v>
      </c>
      <c r="J6" s="23" t="s">
        <v>31</v>
      </c>
      <c r="K6" s="32" t="s">
        <v>19</v>
      </c>
      <c r="L6" s="25">
        <v>36196.18</v>
      </c>
      <c r="M6" s="23" t="s">
        <v>20</v>
      </c>
      <c r="N6" s="25">
        <v>36196.18</v>
      </c>
    </row>
    <row r="7" spans="1:14" x14ac:dyDescent="0.3">
      <c r="A7" s="28" t="s">
        <v>35</v>
      </c>
      <c r="B7" s="28" t="s">
        <v>36</v>
      </c>
      <c r="C7" s="28" t="s">
        <v>42</v>
      </c>
      <c r="D7" s="29">
        <v>226</v>
      </c>
      <c r="E7" s="29">
        <v>137</v>
      </c>
      <c r="F7" s="30">
        <v>142.55000000000001</v>
      </c>
      <c r="G7" s="28" t="s">
        <v>34</v>
      </c>
      <c r="H7" s="31">
        <v>44957</v>
      </c>
      <c r="I7" s="31">
        <v>45120</v>
      </c>
      <c r="J7" s="28" t="s">
        <v>25</v>
      </c>
      <c r="K7" s="27" t="s">
        <v>26</v>
      </c>
      <c r="L7" s="30">
        <v>32216.3</v>
      </c>
      <c r="M7" s="28" t="s">
        <v>20</v>
      </c>
      <c r="N7" s="30">
        <v>32216.3</v>
      </c>
    </row>
    <row r="8" spans="1:14" x14ac:dyDescent="0.3">
      <c r="A8" s="23" t="s">
        <v>38</v>
      </c>
      <c r="B8" s="23" t="s">
        <v>39</v>
      </c>
      <c r="C8" s="23" t="s">
        <v>16</v>
      </c>
      <c r="D8" s="24">
        <v>204</v>
      </c>
      <c r="E8" s="24">
        <v>74</v>
      </c>
      <c r="F8" s="25">
        <v>182.69</v>
      </c>
      <c r="G8" s="23" t="s">
        <v>24</v>
      </c>
      <c r="H8" s="26">
        <v>44963</v>
      </c>
      <c r="I8" s="26">
        <v>45135</v>
      </c>
      <c r="J8" s="23" t="s">
        <v>25</v>
      </c>
      <c r="K8" s="27" t="s">
        <v>26</v>
      </c>
      <c r="L8" s="25">
        <v>37268.76</v>
      </c>
      <c r="M8" s="23" t="s">
        <v>37</v>
      </c>
      <c r="N8" s="25">
        <v>37268.76</v>
      </c>
    </row>
    <row r="9" spans="1:14" x14ac:dyDescent="0.3">
      <c r="A9" s="28" t="s">
        <v>40</v>
      </c>
      <c r="B9" s="28" t="s">
        <v>41</v>
      </c>
      <c r="C9" s="28" t="s">
        <v>42</v>
      </c>
      <c r="D9" s="29">
        <v>383</v>
      </c>
      <c r="E9" s="29">
        <v>167</v>
      </c>
      <c r="F9" s="30">
        <v>270.43</v>
      </c>
      <c r="G9" s="28" t="s">
        <v>34</v>
      </c>
      <c r="H9" s="31">
        <v>44969</v>
      </c>
      <c r="I9" s="31">
        <v>45178</v>
      </c>
      <c r="J9" s="28" t="s">
        <v>31</v>
      </c>
      <c r="K9" s="27" t="s">
        <v>26</v>
      </c>
      <c r="L9" s="30">
        <v>103574.69</v>
      </c>
      <c r="M9" s="28" t="s">
        <v>37</v>
      </c>
      <c r="N9" s="30">
        <v>103574.69</v>
      </c>
    </row>
    <row r="10" spans="1:14" x14ac:dyDescent="0.3">
      <c r="A10" s="23" t="s">
        <v>43</v>
      </c>
      <c r="B10" s="23" t="s">
        <v>44</v>
      </c>
      <c r="C10" s="23" t="s">
        <v>23</v>
      </c>
      <c r="D10" s="24">
        <v>160</v>
      </c>
      <c r="E10" s="24">
        <v>142</v>
      </c>
      <c r="F10" s="25">
        <v>290.79000000000002</v>
      </c>
      <c r="G10" s="23" t="s">
        <v>34</v>
      </c>
      <c r="H10" s="26">
        <v>44975</v>
      </c>
      <c r="I10" s="26">
        <v>45170</v>
      </c>
      <c r="J10" s="23" t="s">
        <v>31</v>
      </c>
      <c r="K10" s="27" t="s">
        <v>26</v>
      </c>
      <c r="L10" s="25">
        <v>46526.400000000001</v>
      </c>
      <c r="M10" s="23" t="s">
        <v>37</v>
      </c>
      <c r="N10" s="25">
        <v>46526.400000000001</v>
      </c>
    </row>
    <row r="11" spans="1:14" x14ac:dyDescent="0.3">
      <c r="A11" s="28" t="s">
        <v>45</v>
      </c>
      <c r="B11" s="28" t="s">
        <v>46</v>
      </c>
      <c r="C11" s="28" t="s">
        <v>23</v>
      </c>
      <c r="D11" s="29">
        <v>126</v>
      </c>
      <c r="E11" s="29">
        <v>124</v>
      </c>
      <c r="F11" s="30">
        <v>492.68</v>
      </c>
      <c r="G11" s="28" t="s">
        <v>34</v>
      </c>
      <c r="H11" s="31">
        <v>44981</v>
      </c>
      <c r="I11" s="31">
        <v>45185</v>
      </c>
      <c r="J11" s="28" t="s">
        <v>18</v>
      </c>
      <c r="K11" s="27" t="s">
        <v>26</v>
      </c>
      <c r="L11" s="30">
        <v>62077.68</v>
      </c>
      <c r="M11" s="28" t="s">
        <v>37</v>
      </c>
      <c r="N11" s="30">
        <v>62077.68</v>
      </c>
    </row>
    <row r="12" spans="1:14" x14ac:dyDescent="0.3">
      <c r="A12" s="23" t="s">
        <v>48</v>
      </c>
      <c r="B12" s="23" t="s">
        <v>49</v>
      </c>
      <c r="C12" s="23" t="s">
        <v>23</v>
      </c>
      <c r="D12" s="24">
        <v>152</v>
      </c>
      <c r="E12" s="24">
        <v>166</v>
      </c>
      <c r="F12" s="25">
        <v>319.66000000000003</v>
      </c>
      <c r="G12" s="23" t="s">
        <v>24</v>
      </c>
      <c r="H12" s="26">
        <v>44987</v>
      </c>
      <c r="I12" s="26">
        <v>45160</v>
      </c>
      <c r="J12" s="23" t="s">
        <v>18</v>
      </c>
      <c r="K12" s="32" t="s">
        <v>19</v>
      </c>
      <c r="L12" s="25">
        <v>48588.32</v>
      </c>
      <c r="M12" s="23" t="s">
        <v>47</v>
      </c>
      <c r="N12" s="25">
        <v>48588.32</v>
      </c>
    </row>
    <row r="13" spans="1:14" x14ac:dyDescent="0.3">
      <c r="A13" s="28" t="s">
        <v>50</v>
      </c>
      <c r="B13" s="28" t="s">
        <v>51</v>
      </c>
      <c r="C13" s="28" t="s">
        <v>16</v>
      </c>
      <c r="D13" s="29">
        <v>117</v>
      </c>
      <c r="E13" s="29">
        <v>118</v>
      </c>
      <c r="F13" s="30">
        <v>352.4</v>
      </c>
      <c r="G13" s="28" t="s">
        <v>34</v>
      </c>
      <c r="H13" s="31">
        <v>44993</v>
      </c>
      <c r="I13" s="31">
        <v>45186</v>
      </c>
      <c r="J13" s="28" t="s">
        <v>31</v>
      </c>
      <c r="K13" s="32" t="s">
        <v>19</v>
      </c>
      <c r="L13" s="30">
        <v>41230.800000000003</v>
      </c>
      <c r="M13" s="28" t="s">
        <v>47</v>
      </c>
      <c r="N13" s="30">
        <v>41230.800000000003</v>
      </c>
    </row>
    <row r="14" spans="1:14" x14ac:dyDescent="0.3">
      <c r="A14" s="23" t="s">
        <v>52</v>
      </c>
      <c r="B14" s="23" t="s">
        <v>53</v>
      </c>
      <c r="C14" s="23" t="s">
        <v>23</v>
      </c>
      <c r="D14" s="24">
        <v>335</v>
      </c>
      <c r="E14" s="24">
        <v>93</v>
      </c>
      <c r="F14" s="25">
        <v>269.39999999999998</v>
      </c>
      <c r="G14" s="23" t="s">
        <v>24</v>
      </c>
      <c r="H14" s="26">
        <v>44999</v>
      </c>
      <c r="I14" s="26">
        <v>45164</v>
      </c>
      <c r="J14" s="23" t="s">
        <v>18</v>
      </c>
      <c r="K14" s="27" t="s">
        <v>26</v>
      </c>
      <c r="L14" s="25">
        <v>90249</v>
      </c>
      <c r="M14" s="23" t="s">
        <v>47</v>
      </c>
      <c r="N14" s="25">
        <v>90249</v>
      </c>
    </row>
    <row r="15" spans="1:14" x14ac:dyDescent="0.3">
      <c r="A15" s="28" t="s">
        <v>54</v>
      </c>
      <c r="B15" s="28" t="s">
        <v>55</v>
      </c>
      <c r="C15" s="28" t="s">
        <v>23</v>
      </c>
      <c r="D15" s="29">
        <v>148</v>
      </c>
      <c r="E15" s="29">
        <v>192</v>
      </c>
      <c r="F15" s="30">
        <v>113.71</v>
      </c>
      <c r="G15" s="28" t="s">
        <v>34</v>
      </c>
      <c r="H15" s="31">
        <v>45005</v>
      </c>
      <c r="I15" s="31">
        <v>45175</v>
      </c>
      <c r="J15" s="28" t="s">
        <v>25</v>
      </c>
      <c r="K15" s="32" t="s">
        <v>19</v>
      </c>
      <c r="L15" s="30">
        <v>16829.080000000002</v>
      </c>
      <c r="M15" s="28" t="s">
        <v>47</v>
      </c>
      <c r="N15" s="30">
        <v>16829.080000000002</v>
      </c>
    </row>
    <row r="16" spans="1:14" x14ac:dyDescent="0.3">
      <c r="A16" s="23" t="s">
        <v>57</v>
      </c>
      <c r="B16" s="23" t="s">
        <v>58</v>
      </c>
      <c r="C16" s="23" t="s">
        <v>23</v>
      </c>
      <c r="D16" s="24">
        <v>422</v>
      </c>
      <c r="E16" s="24">
        <v>130</v>
      </c>
      <c r="F16" s="25">
        <v>203.58</v>
      </c>
      <c r="G16" s="23" t="s">
        <v>17</v>
      </c>
      <c r="H16" s="26">
        <v>45011</v>
      </c>
      <c r="I16" s="26">
        <v>45165</v>
      </c>
      <c r="J16" s="23" t="s">
        <v>31</v>
      </c>
      <c r="K16" s="27" t="s">
        <v>26</v>
      </c>
      <c r="L16" s="25">
        <v>85910.76</v>
      </c>
      <c r="M16" s="23" t="s">
        <v>47</v>
      </c>
      <c r="N16" s="25">
        <v>85910.76</v>
      </c>
    </row>
    <row r="17" spans="1:14" x14ac:dyDescent="0.3">
      <c r="A17" s="28" t="s">
        <v>59</v>
      </c>
      <c r="B17" s="28" t="s">
        <v>60</v>
      </c>
      <c r="C17" s="28" t="s">
        <v>16</v>
      </c>
      <c r="D17" s="29">
        <v>171</v>
      </c>
      <c r="E17" s="29">
        <v>104</v>
      </c>
      <c r="F17" s="30">
        <v>329.44</v>
      </c>
      <c r="G17" s="28" t="s">
        <v>24</v>
      </c>
      <c r="H17" s="31">
        <v>45017</v>
      </c>
      <c r="I17" s="31">
        <v>45192</v>
      </c>
      <c r="J17" s="28" t="s">
        <v>25</v>
      </c>
      <c r="K17" s="27" t="s">
        <v>26</v>
      </c>
      <c r="L17" s="30">
        <v>56334.239999999998</v>
      </c>
      <c r="M17" s="28" t="s">
        <v>56</v>
      </c>
      <c r="N17" s="30">
        <v>56334.239999999998</v>
      </c>
    </row>
    <row r="18" spans="1:14" x14ac:dyDescent="0.3">
      <c r="A18" s="23" t="s">
        <v>61</v>
      </c>
      <c r="B18" s="23" t="s">
        <v>62</v>
      </c>
      <c r="C18" s="23" t="s">
        <v>16</v>
      </c>
      <c r="D18" s="24">
        <v>145</v>
      </c>
      <c r="E18" s="24">
        <v>85</v>
      </c>
      <c r="F18" s="25">
        <v>127.08</v>
      </c>
      <c r="G18" s="23" t="s">
        <v>24</v>
      </c>
      <c r="H18" s="26">
        <v>45023</v>
      </c>
      <c r="I18" s="26">
        <v>45208</v>
      </c>
      <c r="J18" s="23" t="s">
        <v>31</v>
      </c>
      <c r="K18" s="27" t="s">
        <v>26</v>
      </c>
      <c r="L18" s="25">
        <v>18426.599999999999</v>
      </c>
      <c r="M18" s="23" t="s">
        <v>56</v>
      </c>
      <c r="N18" s="25">
        <v>18426.599999999999</v>
      </c>
    </row>
    <row r="19" spans="1:14" x14ac:dyDescent="0.3">
      <c r="A19" s="28" t="s">
        <v>63</v>
      </c>
      <c r="B19" s="28" t="s">
        <v>64</v>
      </c>
      <c r="C19" s="28" t="s">
        <v>42</v>
      </c>
      <c r="D19" s="29">
        <v>309</v>
      </c>
      <c r="E19" s="29">
        <v>159</v>
      </c>
      <c r="F19" s="30">
        <v>449.42</v>
      </c>
      <c r="G19" s="28" t="s">
        <v>34</v>
      </c>
      <c r="H19" s="31">
        <v>45029</v>
      </c>
      <c r="I19" s="31">
        <v>45204</v>
      </c>
      <c r="J19" s="28" t="s">
        <v>25</v>
      </c>
      <c r="K19" s="27" t="s">
        <v>26</v>
      </c>
      <c r="L19" s="30">
        <v>138870.78</v>
      </c>
      <c r="M19" s="28" t="s">
        <v>56</v>
      </c>
      <c r="N19" s="30">
        <v>138870.78</v>
      </c>
    </row>
    <row r="20" spans="1:14" x14ac:dyDescent="0.3">
      <c r="A20" s="23" t="s">
        <v>65</v>
      </c>
      <c r="B20" s="23" t="s">
        <v>66</v>
      </c>
      <c r="C20" s="23" t="s">
        <v>23</v>
      </c>
      <c r="D20" s="24">
        <v>270</v>
      </c>
      <c r="E20" s="24">
        <v>176</v>
      </c>
      <c r="F20" s="25">
        <v>50</v>
      </c>
      <c r="G20" s="23" t="s">
        <v>34</v>
      </c>
      <c r="H20" s="26">
        <v>45035</v>
      </c>
      <c r="I20" s="26">
        <v>45188</v>
      </c>
      <c r="J20" s="23" t="s">
        <v>31</v>
      </c>
      <c r="K20" s="27" t="s">
        <v>26</v>
      </c>
      <c r="L20" s="25">
        <v>13500</v>
      </c>
      <c r="M20" s="23" t="s">
        <v>56</v>
      </c>
      <c r="N20" s="25">
        <v>13500</v>
      </c>
    </row>
    <row r="21" spans="1:14" x14ac:dyDescent="0.3">
      <c r="A21" s="28" t="s">
        <v>68</v>
      </c>
      <c r="B21" s="28" t="s">
        <v>69</v>
      </c>
      <c r="C21" s="28" t="s">
        <v>42</v>
      </c>
      <c r="D21" s="29">
        <v>91</v>
      </c>
      <c r="E21" s="29">
        <v>158</v>
      </c>
      <c r="F21" s="30">
        <v>300.22000000000003</v>
      </c>
      <c r="G21" s="28" t="s">
        <v>17</v>
      </c>
      <c r="H21" s="31">
        <v>45041</v>
      </c>
      <c r="I21" s="31">
        <v>45215</v>
      </c>
      <c r="J21" s="28" t="s">
        <v>18</v>
      </c>
      <c r="K21" s="32" t="s">
        <v>19</v>
      </c>
      <c r="L21" s="30">
        <v>27320.02</v>
      </c>
      <c r="M21" s="28" t="s">
        <v>56</v>
      </c>
      <c r="N21" s="30">
        <v>27320.02</v>
      </c>
    </row>
    <row r="22" spans="1:14" x14ac:dyDescent="0.3">
      <c r="A22" s="23" t="s">
        <v>70</v>
      </c>
      <c r="B22" s="23" t="s">
        <v>71</v>
      </c>
      <c r="C22" s="23" t="s">
        <v>23</v>
      </c>
      <c r="D22" s="24">
        <v>280</v>
      </c>
      <c r="E22" s="24">
        <v>114</v>
      </c>
      <c r="F22" s="25">
        <v>485.68</v>
      </c>
      <c r="G22" s="23" t="s">
        <v>17</v>
      </c>
      <c r="H22" s="26">
        <v>45047</v>
      </c>
      <c r="I22" s="26">
        <v>45252</v>
      </c>
      <c r="J22" s="23" t="s">
        <v>31</v>
      </c>
      <c r="K22" s="27" t="s">
        <v>26</v>
      </c>
      <c r="L22" s="25">
        <v>135990.39999999999</v>
      </c>
      <c r="M22" s="23" t="s">
        <v>67</v>
      </c>
      <c r="N22" s="25">
        <v>135990.39999999999</v>
      </c>
    </row>
    <row r="23" spans="1:14" x14ac:dyDescent="0.3">
      <c r="A23" s="28" t="s">
        <v>72</v>
      </c>
      <c r="B23" s="28" t="s">
        <v>73</v>
      </c>
      <c r="C23" s="28" t="s">
        <v>16</v>
      </c>
      <c r="D23" s="29">
        <v>68</v>
      </c>
      <c r="E23" s="29">
        <v>187</v>
      </c>
      <c r="F23" s="30">
        <v>376.68</v>
      </c>
      <c r="G23" s="28" t="s">
        <v>24</v>
      </c>
      <c r="H23" s="31">
        <v>45053</v>
      </c>
      <c r="I23" s="31">
        <v>45252</v>
      </c>
      <c r="J23" s="28" t="s">
        <v>25</v>
      </c>
      <c r="K23" s="32" t="s">
        <v>19</v>
      </c>
      <c r="L23" s="30">
        <v>25614.240000000002</v>
      </c>
      <c r="M23" s="28" t="s">
        <v>67</v>
      </c>
      <c r="N23" s="30">
        <v>25614.240000000002</v>
      </c>
    </row>
    <row r="24" spans="1:14" x14ac:dyDescent="0.3">
      <c r="A24" s="23" t="s">
        <v>74</v>
      </c>
      <c r="B24" s="23" t="s">
        <v>75</v>
      </c>
      <c r="C24" s="23" t="s">
        <v>16</v>
      </c>
      <c r="D24" s="24">
        <v>160</v>
      </c>
      <c r="E24" s="24">
        <v>161</v>
      </c>
      <c r="F24" s="25">
        <v>83.29</v>
      </c>
      <c r="G24" s="23" t="s">
        <v>17</v>
      </c>
      <c r="H24" s="26">
        <v>45059</v>
      </c>
      <c r="I24" s="26">
        <v>45209</v>
      </c>
      <c r="J24" s="23" t="s">
        <v>18</v>
      </c>
      <c r="K24" s="32" t="s">
        <v>19</v>
      </c>
      <c r="L24" s="25">
        <v>13326.4</v>
      </c>
      <c r="M24" s="23" t="s">
        <v>67</v>
      </c>
      <c r="N24" s="25">
        <v>13326.4</v>
      </c>
    </row>
    <row r="25" spans="1:14" x14ac:dyDescent="0.3">
      <c r="A25" s="28" t="s">
        <v>77</v>
      </c>
      <c r="B25" s="28" t="s">
        <v>78</v>
      </c>
      <c r="C25" s="28" t="s">
        <v>16</v>
      </c>
      <c r="D25" s="29">
        <v>266</v>
      </c>
      <c r="E25" s="29">
        <v>95</v>
      </c>
      <c r="F25" s="30">
        <v>256.3</v>
      </c>
      <c r="G25" s="28" t="s">
        <v>24</v>
      </c>
      <c r="H25" s="31">
        <v>45065</v>
      </c>
      <c r="I25" s="31">
        <v>45221</v>
      </c>
      <c r="J25" s="28" t="s">
        <v>31</v>
      </c>
      <c r="K25" s="27" t="s">
        <v>26</v>
      </c>
      <c r="L25" s="30">
        <v>68175.8</v>
      </c>
      <c r="M25" s="28" t="s">
        <v>67</v>
      </c>
      <c r="N25" s="30">
        <v>68175.8</v>
      </c>
    </row>
    <row r="26" spans="1:14" x14ac:dyDescent="0.3">
      <c r="A26" s="23" t="s">
        <v>79</v>
      </c>
      <c r="B26" s="23" t="s">
        <v>80</v>
      </c>
      <c r="C26" s="23" t="s">
        <v>23</v>
      </c>
      <c r="D26" s="24">
        <v>269</v>
      </c>
      <c r="E26" s="24">
        <v>100</v>
      </c>
      <c r="F26" s="25">
        <v>80.66</v>
      </c>
      <c r="G26" s="23" t="s">
        <v>17</v>
      </c>
      <c r="H26" s="26">
        <v>45071</v>
      </c>
      <c r="I26" s="26">
        <v>45269</v>
      </c>
      <c r="J26" s="23" t="s">
        <v>31</v>
      </c>
      <c r="K26" s="27" t="s">
        <v>26</v>
      </c>
      <c r="L26" s="25">
        <v>21697.54</v>
      </c>
      <c r="M26" s="23" t="s">
        <v>67</v>
      </c>
      <c r="N26" s="25">
        <v>21697.54</v>
      </c>
    </row>
    <row r="27" spans="1:14" x14ac:dyDescent="0.3">
      <c r="A27" s="28" t="s">
        <v>81</v>
      </c>
      <c r="B27" s="28" t="s">
        <v>82</v>
      </c>
      <c r="C27" s="28" t="s">
        <v>23</v>
      </c>
      <c r="D27" s="29">
        <v>480</v>
      </c>
      <c r="E27" s="29">
        <v>50</v>
      </c>
      <c r="F27" s="30">
        <v>301.48</v>
      </c>
      <c r="G27" s="28" t="s">
        <v>34</v>
      </c>
      <c r="H27" s="31">
        <v>45077</v>
      </c>
      <c r="I27" s="31">
        <v>45258</v>
      </c>
      <c r="J27" s="28" t="s">
        <v>18</v>
      </c>
      <c r="K27" s="27" t="s">
        <v>26</v>
      </c>
      <c r="L27" s="30">
        <v>144710.39999999999</v>
      </c>
      <c r="M27" s="28" t="s">
        <v>67</v>
      </c>
      <c r="N27" s="30">
        <v>144710.39999999999</v>
      </c>
    </row>
    <row r="28" spans="1:14" x14ac:dyDescent="0.3">
      <c r="A28" s="23" t="s">
        <v>83</v>
      </c>
      <c r="B28" s="23" t="s">
        <v>84</v>
      </c>
      <c r="C28" s="23" t="s">
        <v>16</v>
      </c>
      <c r="D28" s="24">
        <v>459</v>
      </c>
      <c r="E28" s="24">
        <v>128</v>
      </c>
      <c r="F28" s="25">
        <v>123.53</v>
      </c>
      <c r="G28" s="23" t="s">
        <v>34</v>
      </c>
      <c r="H28" s="26">
        <v>45083</v>
      </c>
      <c r="I28" s="26">
        <v>45248</v>
      </c>
      <c r="J28" s="23" t="s">
        <v>25</v>
      </c>
      <c r="K28" s="27" t="s">
        <v>26</v>
      </c>
      <c r="L28" s="25">
        <v>56700.27</v>
      </c>
      <c r="M28" s="23" t="s">
        <v>76</v>
      </c>
      <c r="N28" s="25">
        <v>56700.27</v>
      </c>
    </row>
    <row r="29" spans="1:14" x14ac:dyDescent="0.3">
      <c r="A29" s="28" t="s">
        <v>86</v>
      </c>
      <c r="B29" s="28" t="s">
        <v>87</v>
      </c>
      <c r="C29" s="28" t="s">
        <v>16</v>
      </c>
      <c r="D29" s="29">
        <v>384</v>
      </c>
      <c r="E29" s="29">
        <v>174</v>
      </c>
      <c r="F29" s="30">
        <v>408.93</v>
      </c>
      <c r="G29" s="28" t="s">
        <v>34</v>
      </c>
      <c r="H29" s="31">
        <v>45089</v>
      </c>
      <c r="I29" s="31">
        <v>45287</v>
      </c>
      <c r="J29" s="28" t="s">
        <v>25</v>
      </c>
      <c r="K29" s="27" t="s">
        <v>26</v>
      </c>
      <c r="L29" s="30">
        <v>157029.12</v>
      </c>
      <c r="M29" s="28" t="s">
        <v>76</v>
      </c>
      <c r="N29" s="30">
        <v>157029.12</v>
      </c>
    </row>
    <row r="30" spans="1:14" x14ac:dyDescent="0.3">
      <c r="A30" s="23" t="s">
        <v>88</v>
      </c>
      <c r="B30" s="23" t="s">
        <v>89</v>
      </c>
      <c r="C30" s="23" t="s">
        <v>42</v>
      </c>
      <c r="D30" s="24">
        <v>347</v>
      </c>
      <c r="E30" s="24">
        <v>171</v>
      </c>
      <c r="F30" s="25">
        <v>473.69</v>
      </c>
      <c r="G30" s="23" t="s">
        <v>17</v>
      </c>
      <c r="H30" s="26">
        <v>45095</v>
      </c>
      <c r="I30" s="26">
        <v>45255</v>
      </c>
      <c r="J30" s="23" t="s">
        <v>31</v>
      </c>
      <c r="K30" s="27" t="s">
        <v>26</v>
      </c>
      <c r="L30" s="25">
        <v>164370.43</v>
      </c>
      <c r="M30" s="23" t="s">
        <v>76</v>
      </c>
      <c r="N30" s="25">
        <v>164370.43</v>
      </c>
    </row>
    <row r="31" spans="1:14" x14ac:dyDescent="0.3">
      <c r="A31" s="28" t="s">
        <v>90</v>
      </c>
      <c r="B31" s="28" t="s">
        <v>91</v>
      </c>
      <c r="C31" s="28" t="s">
        <v>16</v>
      </c>
      <c r="D31" s="29">
        <v>226</v>
      </c>
      <c r="E31" s="29">
        <v>104</v>
      </c>
      <c r="F31" s="30">
        <v>464.81</v>
      </c>
      <c r="G31" s="28" t="s">
        <v>17</v>
      </c>
      <c r="H31" s="31">
        <v>45101</v>
      </c>
      <c r="I31" s="31">
        <v>45299</v>
      </c>
      <c r="J31" s="28" t="s">
        <v>25</v>
      </c>
      <c r="K31" s="27" t="s">
        <v>26</v>
      </c>
      <c r="L31" s="30">
        <v>105047.06</v>
      </c>
      <c r="M31" s="28" t="s">
        <v>76</v>
      </c>
      <c r="N31" s="30">
        <v>105047.06</v>
      </c>
    </row>
    <row r="32" spans="1:14" x14ac:dyDescent="0.3">
      <c r="A32" s="23" t="s">
        <v>92</v>
      </c>
      <c r="B32" s="23" t="s">
        <v>93</v>
      </c>
      <c r="C32" s="23" t="s">
        <v>16</v>
      </c>
      <c r="D32" s="24">
        <v>375</v>
      </c>
      <c r="E32" s="24">
        <v>129</v>
      </c>
      <c r="F32" s="25">
        <v>202.5</v>
      </c>
      <c r="G32" s="23" t="s">
        <v>24</v>
      </c>
      <c r="H32" s="26">
        <v>45107</v>
      </c>
      <c r="I32" s="26">
        <v>45299</v>
      </c>
      <c r="J32" s="23" t="s">
        <v>18</v>
      </c>
      <c r="K32" s="27" t="s">
        <v>26</v>
      </c>
      <c r="L32" s="25">
        <v>75937.5</v>
      </c>
      <c r="M32" s="23" t="s">
        <v>76</v>
      </c>
      <c r="N32" s="25">
        <v>75937.5</v>
      </c>
    </row>
    <row r="33" spans="1:14" x14ac:dyDescent="0.3">
      <c r="A33" s="28" t="s">
        <v>94</v>
      </c>
      <c r="B33" s="28" t="s">
        <v>95</v>
      </c>
      <c r="C33" s="28" t="s">
        <v>23</v>
      </c>
      <c r="D33" s="29">
        <v>470</v>
      </c>
      <c r="E33" s="29">
        <v>182</v>
      </c>
      <c r="F33" s="30">
        <v>228.49</v>
      </c>
      <c r="G33" s="28" t="s">
        <v>34</v>
      </c>
      <c r="H33" s="31">
        <v>45113</v>
      </c>
      <c r="I33" s="31">
        <v>45278</v>
      </c>
      <c r="J33" s="28" t="s">
        <v>18</v>
      </c>
      <c r="K33" s="27" t="s">
        <v>26</v>
      </c>
      <c r="L33" s="30">
        <v>107390.3</v>
      </c>
      <c r="M33" s="28" t="s">
        <v>85</v>
      </c>
      <c r="N33" s="30">
        <v>107390.3</v>
      </c>
    </row>
    <row r="34" spans="1:14" x14ac:dyDescent="0.3">
      <c r="A34" s="23" t="s">
        <v>97</v>
      </c>
      <c r="B34" s="23" t="s">
        <v>98</v>
      </c>
      <c r="C34" s="23" t="s">
        <v>23</v>
      </c>
      <c r="D34" s="24">
        <v>20</v>
      </c>
      <c r="E34" s="24">
        <v>200</v>
      </c>
      <c r="F34" s="25">
        <v>279.19</v>
      </c>
      <c r="G34" s="23" t="s">
        <v>34</v>
      </c>
      <c r="H34" s="26">
        <v>45119</v>
      </c>
      <c r="I34" s="26">
        <v>45306</v>
      </c>
      <c r="J34" s="23" t="s">
        <v>25</v>
      </c>
      <c r="K34" s="32" t="s">
        <v>19</v>
      </c>
      <c r="L34" s="25">
        <v>5583.8</v>
      </c>
      <c r="M34" s="23" t="s">
        <v>85</v>
      </c>
      <c r="N34" s="25">
        <v>5583.8</v>
      </c>
    </row>
    <row r="35" spans="1:14" x14ac:dyDescent="0.3">
      <c r="A35" s="28" t="s">
        <v>99</v>
      </c>
      <c r="B35" s="28" t="s">
        <v>100</v>
      </c>
      <c r="C35" s="28" t="s">
        <v>23</v>
      </c>
      <c r="D35" s="29">
        <v>372</v>
      </c>
      <c r="E35" s="29">
        <v>65</v>
      </c>
      <c r="F35" s="30">
        <v>118.33</v>
      </c>
      <c r="G35" s="28" t="s">
        <v>24</v>
      </c>
      <c r="H35" s="31">
        <v>45125</v>
      </c>
      <c r="I35" s="31">
        <v>45332</v>
      </c>
      <c r="J35" s="28" t="s">
        <v>25</v>
      </c>
      <c r="K35" s="27" t="s">
        <v>26</v>
      </c>
      <c r="L35" s="30">
        <v>44018.76</v>
      </c>
      <c r="M35" s="28" t="s">
        <v>85</v>
      </c>
      <c r="N35" s="30">
        <v>44018.76</v>
      </c>
    </row>
    <row r="36" spans="1:14" x14ac:dyDescent="0.3">
      <c r="A36" s="23" t="s">
        <v>101</v>
      </c>
      <c r="B36" s="23" t="s">
        <v>102</v>
      </c>
      <c r="C36" s="23" t="s">
        <v>23</v>
      </c>
      <c r="D36" s="24">
        <v>273</v>
      </c>
      <c r="E36" s="24">
        <v>110</v>
      </c>
      <c r="F36" s="25">
        <v>142.85</v>
      </c>
      <c r="G36" s="23" t="s">
        <v>17</v>
      </c>
      <c r="H36" s="26">
        <v>45131</v>
      </c>
      <c r="I36" s="26">
        <v>45312</v>
      </c>
      <c r="J36" s="23" t="s">
        <v>25</v>
      </c>
      <c r="K36" s="27" t="s">
        <v>26</v>
      </c>
      <c r="L36" s="25">
        <v>38998.050000000003</v>
      </c>
      <c r="M36" s="23" t="s">
        <v>85</v>
      </c>
      <c r="N36" s="25">
        <v>38998.050000000003</v>
      </c>
    </row>
    <row r="37" spans="1:14" x14ac:dyDescent="0.3">
      <c r="A37" s="28" t="s">
        <v>103</v>
      </c>
      <c r="B37" s="28" t="s">
        <v>104</v>
      </c>
      <c r="C37" s="28" t="s">
        <v>42</v>
      </c>
      <c r="D37" s="29">
        <v>380</v>
      </c>
      <c r="E37" s="29">
        <v>196</v>
      </c>
      <c r="F37" s="30">
        <v>290.22000000000003</v>
      </c>
      <c r="G37" s="28" t="s">
        <v>24</v>
      </c>
      <c r="H37" s="31">
        <v>45137</v>
      </c>
      <c r="I37" s="31">
        <v>45302</v>
      </c>
      <c r="J37" s="28" t="s">
        <v>25</v>
      </c>
      <c r="K37" s="27" t="s">
        <v>26</v>
      </c>
      <c r="L37" s="30">
        <v>110283.6</v>
      </c>
      <c r="M37" s="28" t="s">
        <v>85</v>
      </c>
      <c r="N37" s="30">
        <v>110283.6</v>
      </c>
    </row>
    <row r="38" spans="1:14" x14ac:dyDescent="0.3">
      <c r="A38" s="23" t="s">
        <v>106</v>
      </c>
      <c r="B38" s="23" t="s">
        <v>107</v>
      </c>
      <c r="C38" s="23" t="s">
        <v>42</v>
      </c>
      <c r="D38" s="24">
        <v>58</v>
      </c>
      <c r="E38" s="24">
        <v>74</v>
      </c>
      <c r="F38" s="25">
        <v>331.2</v>
      </c>
      <c r="G38" s="23" t="s">
        <v>24</v>
      </c>
      <c r="H38" s="26">
        <v>45143</v>
      </c>
      <c r="I38" s="26">
        <v>45315</v>
      </c>
      <c r="J38" s="23" t="s">
        <v>18</v>
      </c>
      <c r="K38" s="32" t="s">
        <v>19</v>
      </c>
      <c r="L38" s="25">
        <v>19209.599999999999</v>
      </c>
      <c r="M38" s="23" t="s">
        <v>96</v>
      </c>
      <c r="N38" s="25">
        <v>19209.599999999999</v>
      </c>
    </row>
    <row r="39" spans="1:14" x14ac:dyDescent="0.3">
      <c r="A39" s="28" t="s">
        <v>108</v>
      </c>
      <c r="B39" s="28" t="s">
        <v>109</v>
      </c>
      <c r="C39" s="28" t="s">
        <v>23</v>
      </c>
      <c r="D39" s="29">
        <v>452</v>
      </c>
      <c r="E39" s="29">
        <v>63</v>
      </c>
      <c r="F39" s="30">
        <v>338.32</v>
      </c>
      <c r="G39" s="28" t="s">
        <v>34</v>
      </c>
      <c r="H39" s="31">
        <v>45149</v>
      </c>
      <c r="I39" s="31">
        <v>45340</v>
      </c>
      <c r="J39" s="28" t="s">
        <v>18</v>
      </c>
      <c r="K39" s="27" t="s">
        <v>26</v>
      </c>
      <c r="L39" s="30">
        <v>152920.64000000001</v>
      </c>
      <c r="M39" s="28" t="s">
        <v>96</v>
      </c>
      <c r="N39" s="30">
        <v>152920.64000000001</v>
      </c>
    </row>
    <row r="40" spans="1:14" x14ac:dyDescent="0.3">
      <c r="A40" s="23" t="s">
        <v>110</v>
      </c>
      <c r="B40" s="23" t="s">
        <v>111</v>
      </c>
      <c r="C40" s="23" t="s">
        <v>23</v>
      </c>
      <c r="D40" s="24">
        <v>382</v>
      </c>
      <c r="E40" s="24">
        <v>136</v>
      </c>
      <c r="F40" s="25">
        <v>401.29</v>
      </c>
      <c r="G40" s="23" t="s">
        <v>34</v>
      </c>
      <c r="H40" s="26">
        <v>45155</v>
      </c>
      <c r="I40" s="26">
        <v>45311</v>
      </c>
      <c r="J40" s="23" t="s">
        <v>25</v>
      </c>
      <c r="K40" s="27" t="s">
        <v>26</v>
      </c>
      <c r="L40" s="25">
        <v>153292.78</v>
      </c>
      <c r="M40" s="23" t="s">
        <v>96</v>
      </c>
      <c r="N40" s="25">
        <v>153292.78</v>
      </c>
    </row>
    <row r="41" spans="1:14" x14ac:dyDescent="0.3">
      <c r="A41" s="28" t="s">
        <v>112</v>
      </c>
      <c r="B41" s="28" t="s">
        <v>113</v>
      </c>
      <c r="C41" s="28" t="s">
        <v>42</v>
      </c>
      <c r="D41" s="29">
        <v>284</v>
      </c>
      <c r="E41" s="29">
        <v>164</v>
      </c>
      <c r="F41" s="30">
        <v>74.39</v>
      </c>
      <c r="G41" s="28" t="s">
        <v>24</v>
      </c>
      <c r="H41" s="31">
        <v>45161</v>
      </c>
      <c r="I41" s="31">
        <v>45322</v>
      </c>
      <c r="J41" s="28" t="s">
        <v>25</v>
      </c>
      <c r="K41" s="27" t="s">
        <v>26</v>
      </c>
      <c r="L41" s="30">
        <v>21126.76</v>
      </c>
      <c r="M41" s="28" t="s">
        <v>96</v>
      </c>
      <c r="N41" s="30">
        <v>21126.76</v>
      </c>
    </row>
    <row r="42" spans="1:14" x14ac:dyDescent="0.3">
      <c r="A42" s="23" t="s">
        <v>115</v>
      </c>
      <c r="B42" s="23" t="s">
        <v>116</v>
      </c>
      <c r="C42" s="23" t="s">
        <v>16</v>
      </c>
      <c r="D42" s="24">
        <v>457</v>
      </c>
      <c r="E42" s="24">
        <v>69</v>
      </c>
      <c r="F42" s="25">
        <v>224.35</v>
      </c>
      <c r="G42" s="23" t="s">
        <v>34</v>
      </c>
      <c r="H42" s="26">
        <v>45167</v>
      </c>
      <c r="I42" s="26">
        <v>45372</v>
      </c>
      <c r="J42" s="23" t="s">
        <v>25</v>
      </c>
      <c r="K42" s="27" t="s">
        <v>26</v>
      </c>
      <c r="L42" s="25">
        <v>102527.95</v>
      </c>
      <c r="M42" s="23" t="s">
        <v>96</v>
      </c>
      <c r="N42" s="25">
        <v>102527.95</v>
      </c>
    </row>
    <row r="43" spans="1:14" x14ac:dyDescent="0.3">
      <c r="A43" s="28" t="s">
        <v>117</v>
      </c>
      <c r="B43" s="28" t="s">
        <v>118</v>
      </c>
      <c r="C43" s="28" t="s">
        <v>23</v>
      </c>
      <c r="D43" s="29">
        <v>343</v>
      </c>
      <c r="E43" s="29">
        <v>188</v>
      </c>
      <c r="F43" s="30">
        <v>418.83</v>
      </c>
      <c r="G43" s="28" t="s">
        <v>34</v>
      </c>
      <c r="H43" s="31">
        <v>45173</v>
      </c>
      <c r="I43" s="31">
        <v>45328</v>
      </c>
      <c r="J43" s="28" t="s">
        <v>18</v>
      </c>
      <c r="K43" s="27" t="s">
        <v>26</v>
      </c>
      <c r="L43" s="30">
        <v>143658.69</v>
      </c>
      <c r="M43" s="28" t="s">
        <v>105</v>
      </c>
      <c r="N43" s="30">
        <v>143658.69</v>
      </c>
    </row>
    <row r="44" spans="1:14" x14ac:dyDescent="0.3">
      <c r="A44" s="23" t="s">
        <v>119</v>
      </c>
      <c r="B44" s="23" t="s">
        <v>120</v>
      </c>
      <c r="C44" s="23" t="s">
        <v>23</v>
      </c>
      <c r="D44" s="24">
        <v>258</v>
      </c>
      <c r="E44" s="24">
        <v>173</v>
      </c>
      <c r="F44" s="25">
        <v>110.8</v>
      </c>
      <c r="G44" s="23" t="s">
        <v>34</v>
      </c>
      <c r="H44" s="26">
        <v>45179</v>
      </c>
      <c r="I44" s="26">
        <v>45354</v>
      </c>
      <c r="J44" s="23" t="s">
        <v>18</v>
      </c>
      <c r="K44" s="27" t="s">
        <v>26</v>
      </c>
      <c r="L44" s="25">
        <v>28586.400000000001</v>
      </c>
      <c r="M44" s="23" t="s">
        <v>105</v>
      </c>
      <c r="N44" s="25">
        <v>28586.400000000001</v>
      </c>
    </row>
    <row r="45" spans="1:14" x14ac:dyDescent="0.3">
      <c r="A45" s="28" t="s">
        <v>121</v>
      </c>
      <c r="B45" s="28" t="s">
        <v>122</v>
      </c>
      <c r="C45" s="28" t="s">
        <v>42</v>
      </c>
      <c r="D45" s="29">
        <v>11</v>
      </c>
      <c r="E45" s="29">
        <v>149</v>
      </c>
      <c r="F45" s="30">
        <v>136.28</v>
      </c>
      <c r="G45" s="28" t="s">
        <v>24</v>
      </c>
      <c r="H45" s="31">
        <v>45185</v>
      </c>
      <c r="I45" s="31">
        <v>45385</v>
      </c>
      <c r="J45" s="28" t="s">
        <v>18</v>
      </c>
      <c r="K45" s="32" t="s">
        <v>19</v>
      </c>
      <c r="L45" s="30">
        <v>1499.08</v>
      </c>
      <c r="M45" s="28" t="s">
        <v>105</v>
      </c>
      <c r="N45" s="30">
        <v>1499.08</v>
      </c>
    </row>
    <row r="46" spans="1:14" x14ac:dyDescent="0.3">
      <c r="A46" s="23" t="s">
        <v>123</v>
      </c>
      <c r="B46" s="23" t="s">
        <v>124</v>
      </c>
      <c r="C46" s="23" t="s">
        <v>23</v>
      </c>
      <c r="D46" s="24">
        <v>366</v>
      </c>
      <c r="E46" s="24">
        <v>192</v>
      </c>
      <c r="F46" s="25">
        <v>332.63</v>
      </c>
      <c r="G46" s="23" t="s">
        <v>34</v>
      </c>
      <c r="H46" s="26">
        <v>45191</v>
      </c>
      <c r="I46" s="26">
        <v>45372</v>
      </c>
      <c r="J46" s="23" t="s">
        <v>18</v>
      </c>
      <c r="K46" s="27" t="s">
        <v>26</v>
      </c>
      <c r="L46" s="25">
        <v>121742.58</v>
      </c>
      <c r="M46" s="23" t="s">
        <v>105</v>
      </c>
      <c r="N46" s="25">
        <v>121742.58</v>
      </c>
    </row>
    <row r="47" spans="1:14" x14ac:dyDescent="0.3">
      <c r="A47" s="28" t="s">
        <v>126</v>
      </c>
      <c r="B47" s="28" t="s">
        <v>127</v>
      </c>
      <c r="C47" s="28" t="s">
        <v>23</v>
      </c>
      <c r="D47" s="29">
        <v>121</v>
      </c>
      <c r="E47" s="29">
        <v>64</v>
      </c>
      <c r="F47" s="30">
        <v>291.69</v>
      </c>
      <c r="G47" s="28" t="s">
        <v>17</v>
      </c>
      <c r="H47" s="31">
        <v>45197</v>
      </c>
      <c r="I47" s="31">
        <v>45381</v>
      </c>
      <c r="J47" s="28" t="s">
        <v>18</v>
      </c>
      <c r="K47" s="27" t="s">
        <v>26</v>
      </c>
      <c r="L47" s="30">
        <v>35294.49</v>
      </c>
      <c r="M47" s="28" t="s">
        <v>105</v>
      </c>
      <c r="N47" s="30">
        <v>35294.49</v>
      </c>
    </row>
    <row r="48" spans="1:14" x14ac:dyDescent="0.3">
      <c r="A48" s="23" t="s">
        <v>128</v>
      </c>
      <c r="B48" s="23" t="s">
        <v>129</v>
      </c>
      <c r="C48" s="23" t="s">
        <v>16</v>
      </c>
      <c r="D48" s="24">
        <v>39</v>
      </c>
      <c r="E48" s="24">
        <v>62</v>
      </c>
      <c r="F48" s="25">
        <v>294.17</v>
      </c>
      <c r="G48" s="23" t="s">
        <v>34</v>
      </c>
      <c r="H48" s="26">
        <v>45203</v>
      </c>
      <c r="I48" s="26">
        <v>45385</v>
      </c>
      <c r="J48" s="23" t="s">
        <v>25</v>
      </c>
      <c r="K48" s="32" t="s">
        <v>19</v>
      </c>
      <c r="L48" s="25">
        <v>11472.63</v>
      </c>
      <c r="M48" s="23" t="s">
        <v>114</v>
      </c>
      <c r="N48" s="25">
        <v>11472.63</v>
      </c>
    </row>
    <row r="49" spans="1:14" x14ac:dyDescent="0.3">
      <c r="A49" s="28" t="s">
        <v>130</v>
      </c>
      <c r="B49" s="28" t="s">
        <v>131</v>
      </c>
      <c r="C49" s="28" t="s">
        <v>16</v>
      </c>
      <c r="D49" s="29">
        <v>270</v>
      </c>
      <c r="E49" s="29">
        <v>70</v>
      </c>
      <c r="F49" s="30">
        <v>426.41</v>
      </c>
      <c r="G49" s="28" t="s">
        <v>34</v>
      </c>
      <c r="H49" s="31">
        <v>45209</v>
      </c>
      <c r="I49" s="31">
        <v>45363</v>
      </c>
      <c r="J49" s="28" t="s">
        <v>31</v>
      </c>
      <c r="K49" s="27" t="s">
        <v>26</v>
      </c>
      <c r="L49" s="30">
        <v>115130.7</v>
      </c>
      <c r="M49" s="28" t="s">
        <v>114</v>
      </c>
      <c r="N49" s="30">
        <v>115130.7</v>
      </c>
    </row>
    <row r="50" spans="1:14" x14ac:dyDescent="0.3">
      <c r="A50" s="23" t="s">
        <v>132</v>
      </c>
      <c r="B50" s="23" t="s">
        <v>133</v>
      </c>
      <c r="C50" s="23" t="s">
        <v>16</v>
      </c>
      <c r="D50" s="24">
        <v>451</v>
      </c>
      <c r="E50" s="24">
        <v>110</v>
      </c>
      <c r="F50" s="25">
        <v>204.87</v>
      </c>
      <c r="G50" s="23" t="s">
        <v>34</v>
      </c>
      <c r="H50" s="26">
        <v>45215</v>
      </c>
      <c r="I50" s="26">
        <v>45425</v>
      </c>
      <c r="J50" s="23" t="s">
        <v>31</v>
      </c>
      <c r="K50" s="27" t="s">
        <v>26</v>
      </c>
      <c r="L50" s="25">
        <v>92396.37</v>
      </c>
      <c r="M50" s="23" t="s">
        <v>114</v>
      </c>
      <c r="N50" s="25">
        <v>92396.37</v>
      </c>
    </row>
    <row r="51" spans="1:14" x14ac:dyDescent="0.3">
      <c r="A51" s="28" t="s">
        <v>135</v>
      </c>
      <c r="B51" s="28" t="s">
        <v>136</v>
      </c>
      <c r="C51" s="28" t="s">
        <v>16</v>
      </c>
      <c r="D51" s="29">
        <v>314</v>
      </c>
      <c r="E51" s="29">
        <v>60</v>
      </c>
      <c r="F51" s="30">
        <v>311.58999999999997</v>
      </c>
      <c r="G51" s="28" t="s">
        <v>17</v>
      </c>
      <c r="H51" s="31">
        <v>45221</v>
      </c>
      <c r="I51" s="31">
        <v>45397</v>
      </c>
      <c r="J51" s="28" t="s">
        <v>31</v>
      </c>
      <c r="K51" s="27" t="s">
        <v>26</v>
      </c>
      <c r="L51" s="30">
        <v>97839.26</v>
      </c>
      <c r="M51" s="28" t="s">
        <v>114</v>
      </c>
      <c r="N51" s="30">
        <v>97839.26</v>
      </c>
    </row>
    <row r="52" spans="1:14" x14ac:dyDescent="0.3">
      <c r="A52" s="23" t="s">
        <v>137</v>
      </c>
      <c r="B52" s="23" t="s">
        <v>138</v>
      </c>
      <c r="C52" s="23" t="s">
        <v>16</v>
      </c>
      <c r="D52" s="24">
        <v>277</v>
      </c>
      <c r="E52" s="24">
        <v>130</v>
      </c>
      <c r="F52" s="25">
        <v>467.68</v>
      </c>
      <c r="G52" s="23" t="s">
        <v>17</v>
      </c>
      <c r="H52" s="26">
        <v>45227</v>
      </c>
      <c r="I52" s="26">
        <v>45390</v>
      </c>
      <c r="J52" s="23" t="s">
        <v>18</v>
      </c>
      <c r="K52" s="27" t="s">
        <v>26</v>
      </c>
      <c r="L52" s="25">
        <v>129547.36</v>
      </c>
      <c r="M52" s="23" t="s">
        <v>114</v>
      </c>
      <c r="N52" s="25">
        <v>129547.36</v>
      </c>
    </row>
    <row r="53" spans="1:14" x14ac:dyDescent="0.3">
      <c r="A53" s="28" t="s">
        <v>139</v>
      </c>
      <c r="B53" s="28" t="s">
        <v>140</v>
      </c>
      <c r="C53" s="28" t="s">
        <v>16</v>
      </c>
      <c r="D53" s="29">
        <v>132</v>
      </c>
      <c r="E53" s="29">
        <v>117</v>
      </c>
      <c r="F53" s="30">
        <v>200.91</v>
      </c>
      <c r="G53" s="28" t="s">
        <v>24</v>
      </c>
      <c r="H53" s="31">
        <v>45233</v>
      </c>
      <c r="I53" s="31">
        <v>45425</v>
      </c>
      <c r="J53" s="28" t="s">
        <v>18</v>
      </c>
      <c r="K53" s="27" t="s">
        <v>26</v>
      </c>
      <c r="L53" s="30">
        <v>26520.12</v>
      </c>
      <c r="M53" s="28" t="s">
        <v>125</v>
      </c>
      <c r="N53" s="30">
        <v>26520.12</v>
      </c>
    </row>
    <row r="54" spans="1:14" x14ac:dyDescent="0.3">
      <c r="A54" s="23" t="s">
        <v>141</v>
      </c>
      <c r="B54" s="23" t="s">
        <v>142</v>
      </c>
      <c r="C54" s="23" t="s">
        <v>16</v>
      </c>
      <c r="D54" s="24">
        <v>171</v>
      </c>
      <c r="E54" s="24">
        <v>68</v>
      </c>
      <c r="F54" s="25">
        <v>9.61</v>
      </c>
      <c r="G54" s="23" t="s">
        <v>34</v>
      </c>
      <c r="H54" s="26">
        <v>45239</v>
      </c>
      <c r="I54" s="26">
        <v>45428</v>
      </c>
      <c r="J54" s="23" t="s">
        <v>25</v>
      </c>
      <c r="K54" s="27" t="s">
        <v>26</v>
      </c>
      <c r="L54" s="25">
        <v>1643.31</v>
      </c>
      <c r="M54" s="23" t="s">
        <v>125</v>
      </c>
      <c r="N54" s="25">
        <v>1643.31</v>
      </c>
    </row>
    <row r="55" spans="1:14" x14ac:dyDescent="0.3">
      <c r="A55" s="28" t="s">
        <v>143</v>
      </c>
      <c r="B55" s="28" t="s">
        <v>144</v>
      </c>
      <c r="C55" s="28" t="s">
        <v>42</v>
      </c>
      <c r="D55" s="29">
        <v>285</v>
      </c>
      <c r="E55" s="29">
        <v>104</v>
      </c>
      <c r="F55" s="30">
        <v>255.41</v>
      </c>
      <c r="G55" s="28" t="s">
        <v>34</v>
      </c>
      <c r="H55" s="31">
        <v>45245</v>
      </c>
      <c r="I55" s="31">
        <v>45403</v>
      </c>
      <c r="J55" s="28" t="s">
        <v>25</v>
      </c>
      <c r="K55" s="27" t="s">
        <v>26</v>
      </c>
      <c r="L55" s="30">
        <v>72791.850000000006</v>
      </c>
      <c r="M55" s="28" t="s">
        <v>125</v>
      </c>
      <c r="N55" s="30">
        <v>72791.850000000006</v>
      </c>
    </row>
    <row r="56" spans="1:14" x14ac:dyDescent="0.3">
      <c r="A56" s="23" t="s">
        <v>146</v>
      </c>
      <c r="B56" s="23" t="s">
        <v>147</v>
      </c>
      <c r="C56" s="23" t="s">
        <v>16</v>
      </c>
      <c r="D56" s="24">
        <v>199</v>
      </c>
      <c r="E56" s="24">
        <v>122</v>
      </c>
      <c r="F56" s="25">
        <v>83.08</v>
      </c>
      <c r="G56" s="23" t="s">
        <v>17</v>
      </c>
      <c r="H56" s="26">
        <v>45251</v>
      </c>
      <c r="I56" s="26">
        <v>45454</v>
      </c>
      <c r="J56" s="23" t="s">
        <v>18</v>
      </c>
      <c r="K56" s="27" t="s">
        <v>26</v>
      </c>
      <c r="L56" s="25">
        <v>16532.919999999998</v>
      </c>
      <c r="M56" s="23" t="s">
        <v>125</v>
      </c>
      <c r="N56" s="25">
        <v>16532.919999999998</v>
      </c>
    </row>
    <row r="57" spans="1:14" x14ac:dyDescent="0.3">
      <c r="A57" s="28" t="s">
        <v>148</v>
      </c>
      <c r="B57" s="28" t="s">
        <v>149</v>
      </c>
      <c r="C57" s="28" t="s">
        <v>16</v>
      </c>
      <c r="D57" s="29">
        <v>323</v>
      </c>
      <c r="E57" s="29">
        <v>185</v>
      </c>
      <c r="F57" s="30">
        <v>8.8699999999999992</v>
      </c>
      <c r="G57" s="28" t="s">
        <v>24</v>
      </c>
      <c r="H57" s="31">
        <v>45257</v>
      </c>
      <c r="I57" s="31">
        <v>45459</v>
      </c>
      <c r="J57" s="28" t="s">
        <v>31</v>
      </c>
      <c r="K57" s="27" t="s">
        <v>26</v>
      </c>
      <c r="L57" s="30">
        <v>2865.01</v>
      </c>
      <c r="M57" s="28" t="s">
        <v>125</v>
      </c>
      <c r="N57" s="30">
        <v>2865.01</v>
      </c>
    </row>
    <row r="58" spans="1:14" x14ac:dyDescent="0.3">
      <c r="A58" s="23" t="s">
        <v>150</v>
      </c>
      <c r="B58" s="23" t="s">
        <v>151</v>
      </c>
      <c r="C58" s="23" t="s">
        <v>23</v>
      </c>
      <c r="D58" s="24">
        <v>63</v>
      </c>
      <c r="E58" s="24">
        <v>84</v>
      </c>
      <c r="F58" s="25">
        <v>135.91</v>
      </c>
      <c r="G58" s="23" t="s">
        <v>17</v>
      </c>
      <c r="H58" s="26">
        <v>45263</v>
      </c>
      <c r="I58" s="26">
        <v>45469</v>
      </c>
      <c r="J58" s="23" t="s">
        <v>31</v>
      </c>
      <c r="K58" s="32" t="s">
        <v>19</v>
      </c>
      <c r="L58" s="25">
        <v>8562.33</v>
      </c>
      <c r="M58" s="23" t="s">
        <v>134</v>
      </c>
      <c r="N58" s="25">
        <v>8562.33</v>
      </c>
    </row>
    <row r="59" spans="1:14" x14ac:dyDescent="0.3">
      <c r="A59" s="28" t="s">
        <v>152</v>
      </c>
      <c r="B59" s="28" t="s">
        <v>153</v>
      </c>
      <c r="C59" s="28" t="s">
        <v>16</v>
      </c>
      <c r="D59" s="29">
        <v>89</v>
      </c>
      <c r="E59" s="29">
        <v>119</v>
      </c>
      <c r="F59" s="30">
        <v>144.47</v>
      </c>
      <c r="G59" s="28" t="s">
        <v>24</v>
      </c>
      <c r="H59" s="31">
        <v>45269</v>
      </c>
      <c r="I59" s="31">
        <v>45432</v>
      </c>
      <c r="J59" s="28" t="s">
        <v>25</v>
      </c>
      <c r="K59" s="32" t="s">
        <v>19</v>
      </c>
      <c r="L59" s="30">
        <v>12857.83</v>
      </c>
      <c r="M59" s="28" t="s">
        <v>134</v>
      </c>
      <c r="N59" s="30">
        <v>12857.83</v>
      </c>
    </row>
    <row r="60" spans="1:14" x14ac:dyDescent="0.3">
      <c r="A60" s="23" t="s">
        <v>155</v>
      </c>
      <c r="B60" s="23" t="s">
        <v>156</v>
      </c>
      <c r="C60" s="23" t="s">
        <v>23</v>
      </c>
      <c r="D60" s="24">
        <v>361</v>
      </c>
      <c r="E60" s="24">
        <v>117</v>
      </c>
      <c r="F60" s="25">
        <v>255.18</v>
      </c>
      <c r="G60" s="23" t="s">
        <v>34</v>
      </c>
      <c r="H60" s="26">
        <v>45275</v>
      </c>
      <c r="I60" s="26">
        <v>45441</v>
      </c>
      <c r="J60" s="23" t="s">
        <v>31</v>
      </c>
      <c r="K60" s="27" t="s">
        <v>26</v>
      </c>
      <c r="L60" s="25">
        <v>92119.98</v>
      </c>
      <c r="M60" s="23" t="s">
        <v>134</v>
      </c>
      <c r="N60" s="25">
        <v>92119.98</v>
      </c>
    </row>
    <row r="61" spans="1:14" x14ac:dyDescent="0.3">
      <c r="A61" s="28" t="s">
        <v>157</v>
      </c>
      <c r="B61" s="28" t="s">
        <v>158</v>
      </c>
      <c r="C61" s="28" t="s">
        <v>23</v>
      </c>
      <c r="D61" s="29">
        <v>226</v>
      </c>
      <c r="E61" s="29">
        <v>120</v>
      </c>
      <c r="F61" s="30">
        <v>26.82</v>
      </c>
      <c r="G61" s="28" t="s">
        <v>17</v>
      </c>
      <c r="H61" s="31">
        <v>45281</v>
      </c>
      <c r="I61" s="31">
        <v>45452</v>
      </c>
      <c r="J61" s="28" t="s">
        <v>18</v>
      </c>
      <c r="K61" s="27" t="s">
        <v>26</v>
      </c>
      <c r="L61" s="30">
        <v>6061.32</v>
      </c>
      <c r="M61" s="28" t="s">
        <v>134</v>
      </c>
      <c r="N61" s="30">
        <v>6061.32</v>
      </c>
    </row>
    <row r="62" spans="1:14" x14ac:dyDescent="0.3">
      <c r="A62" s="23" t="s">
        <v>159</v>
      </c>
      <c r="B62" s="23" t="s">
        <v>160</v>
      </c>
      <c r="C62" s="23" t="s">
        <v>16</v>
      </c>
      <c r="D62" s="24">
        <v>92</v>
      </c>
      <c r="E62" s="24">
        <v>163</v>
      </c>
      <c r="F62" s="25">
        <v>278.08</v>
      </c>
      <c r="G62" s="23" t="s">
        <v>34</v>
      </c>
      <c r="H62" s="26">
        <v>45287</v>
      </c>
      <c r="I62" s="26">
        <v>45464</v>
      </c>
      <c r="J62" s="23" t="s">
        <v>25</v>
      </c>
      <c r="K62" s="32" t="s">
        <v>19</v>
      </c>
      <c r="L62" s="25">
        <v>25583.360000000001</v>
      </c>
      <c r="M62" s="23" t="s">
        <v>134</v>
      </c>
      <c r="N62" s="25">
        <v>25583.360000000001</v>
      </c>
    </row>
    <row r="63" spans="1:14" x14ac:dyDescent="0.3">
      <c r="A63" s="28" t="s">
        <v>161</v>
      </c>
      <c r="B63" s="28" t="s">
        <v>162</v>
      </c>
      <c r="C63" s="28" t="s">
        <v>42</v>
      </c>
      <c r="D63" s="29">
        <v>48</v>
      </c>
      <c r="E63" s="29">
        <v>88</v>
      </c>
      <c r="F63" s="30">
        <v>275.07</v>
      </c>
      <c r="G63" s="28" t="s">
        <v>17</v>
      </c>
      <c r="H63" s="31">
        <v>45293</v>
      </c>
      <c r="I63" s="31">
        <v>45496</v>
      </c>
      <c r="J63" s="28" t="s">
        <v>31</v>
      </c>
      <c r="K63" s="32" t="s">
        <v>19</v>
      </c>
      <c r="L63" s="30">
        <v>13203.36</v>
      </c>
      <c r="M63" s="28" t="s">
        <v>145</v>
      </c>
      <c r="N63" s="30">
        <v>13203.36</v>
      </c>
    </row>
    <row r="64" spans="1:14" x14ac:dyDescent="0.3">
      <c r="A64" s="23" t="s">
        <v>164</v>
      </c>
      <c r="B64" s="23" t="s">
        <v>165</v>
      </c>
      <c r="C64" s="23" t="s">
        <v>42</v>
      </c>
      <c r="D64" s="24">
        <v>85</v>
      </c>
      <c r="E64" s="24">
        <v>160</v>
      </c>
      <c r="F64" s="25">
        <v>68.09</v>
      </c>
      <c r="G64" s="23" t="s">
        <v>34</v>
      </c>
      <c r="H64" s="26">
        <v>45299</v>
      </c>
      <c r="I64" s="26">
        <v>45468</v>
      </c>
      <c r="J64" s="23" t="s">
        <v>18</v>
      </c>
      <c r="K64" s="32" t="s">
        <v>19</v>
      </c>
      <c r="L64" s="25">
        <v>5787.65</v>
      </c>
      <c r="M64" s="23" t="s">
        <v>145</v>
      </c>
      <c r="N64" s="25">
        <v>5787.65</v>
      </c>
    </row>
    <row r="65" spans="1:14" x14ac:dyDescent="0.3">
      <c r="A65" s="28" t="s">
        <v>166</v>
      </c>
      <c r="B65" s="28" t="s">
        <v>167</v>
      </c>
      <c r="C65" s="28" t="s">
        <v>16</v>
      </c>
      <c r="D65" s="29">
        <v>117</v>
      </c>
      <c r="E65" s="29">
        <v>113</v>
      </c>
      <c r="F65" s="30">
        <v>335.13</v>
      </c>
      <c r="G65" s="28" t="s">
        <v>24</v>
      </c>
      <c r="H65" s="31">
        <v>45305</v>
      </c>
      <c r="I65" s="31">
        <v>45477</v>
      </c>
      <c r="J65" s="28" t="s">
        <v>31</v>
      </c>
      <c r="K65" s="27" t="s">
        <v>26</v>
      </c>
      <c r="L65" s="30">
        <v>39210.21</v>
      </c>
      <c r="M65" s="28" t="s">
        <v>145</v>
      </c>
      <c r="N65" s="30">
        <v>39210.21</v>
      </c>
    </row>
    <row r="66" spans="1:14" x14ac:dyDescent="0.3">
      <c r="A66" s="23" t="s">
        <v>168</v>
      </c>
      <c r="B66" s="23" t="s">
        <v>169</v>
      </c>
      <c r="C66" s="23" t="s">
        <v>23</v>
      </c>
      <c r="D66" s="24">
        <v>393</v>
      </c>
      <c r="E66" s="24">
        <v>89</v>
      </c>
      <c r="F66" s="25">
        <v>463.25</v>
      </c>
      <c r="G66" s="23" t="s">
        <v>34</v>
      </c>
      <c r="H66" s="26">
        <v>45311</v>
      </c>
      <c r="I66" s="26">
        <v>45476</v>
      </c>
      <c r="J66" s="23" t="s">
        <v>18</v>
      </c>
      <c r="K66" s="27" t="s">
        <v>26</v>
      </c>
      <c r="L66" s="25">
        <v>182057.25</v>
      </c>
      <c r="M66" s="23" t="s">
        <v>145</v>
      </c>
      <c r="N66" s="25">
        <v>182057.25</v>
      </c>
    </row>
    <row r="67" spans="1:14" x14ac:dyDescent="0.3">
      <c r="A67" s="28" t="s">
        <v>170</v>
      </c>
      <c r="B67" s="28" t="s">
        <v>171</v>
      </c>
      <c r="C67" s="28" t="s">
        <v>42</v>
      </c>
      <c r="D67" s="29">
        <v>22</v>
      </c>
      <c r="E67" s="29">
        <v>95</v>
      </c>
      <c r="F67" s="30">
        <v>369.6</v>
      </c>
      <c r="G67" s="28" t="s">
        <v>17</v>
      </c>
      <c r="H67" s="31">
        <v>45317</v>
      </c>
      <c r="I67" s="31">
        <v>45488</v>
      </c>
      <c r="J67" s="28" t="s">
        <v>31</v>
      </c>
      <c r="K67" s="32" t="s">
        <v>19</v>
      </c>
      <c r="L67" s="30">
        <v>8131.2</v>
      </c>
      <c r="M67" s="28" t="s">
        <v>145</v>
      </c>
      <c r="N67" s="30">
        <v>8131.2</v>
      </c>
    </row>
    <row r="68" spans="1:14" x14ac:dyDescent="0.3">
      <c r="A68" s="23" t="s">
        <v>172</v>
      </c>
      <c r="B68" s="23" t="s">
        <v>173</v>
      </c>
      <c r="C68" s="23" t="s">
        <v>16</v>
      </c>
      <c r="D68" s="24">
        <v>425</v>
      </c>
      <c r="E68" s="24">
        <v>113</v>
      </c>
      <c r="F68" s="25">
        <v>137.07</v>
      </c>
      <c r="G68" s="23" t="s">
        <v>34</v>
      </c>
      <c r="H68" s="26">
        <v>45323</v>
      </c>
      <c r="I68" s="26">
        <v>45523</v>
      </c>
      <c r="J68" s="23" t="s">
        <v>18</v>
      </c>
      <c r="K68" s="27" t="s">
        <v>26</v>
      </c>
      <c r="L68" s="25">
        <v>58254.75</v>
      </c>
      <c r="M68" s="23" t="s">
        <v>154</v>
      </c>
      <c r="N68" s="25">
        <v>58254.75</v>
      </c>
    </row>
    <row r="69" spans="1:14" x14ac:dyDescent="0.3">
      <c r="A69" s="28" t="s">
        <v>175</v>
      </c>
      <c r="B69" s="28" t="s">
        <v>176</v>
      </c>
      <c r="C69" s="28" t="s">
        <v>23</v>
      </c>
      <c r="D69" s="29">
        <v>456</v>
      </c>
      <c r="E69" s="29">
        <v>59</v>
      </c>
      <c r="F69" s="30">
        <v>430</v>
      </c>
      <c r="G69" s="28" t="s">
        <v>24</v>
      </c>
      <c r="H69" s="31">
        <v>45329</v>
      </c>
      <c r="I69" s="31">
        <v>45493</v>
      </c>
      <c r="J69" s="28" t="s">
        <v>18</v>
      </c>
      <c r="K69" s="27" t="s">
        <v>26</v>
      </c>
      <c r="L69" s="30">
        <v>196080</v>
      </c>
      <c r="M69" s="28" t="s">
        <v>154</v>
      </c>
      <c r="N69" s="30">
        <v>196080</v>
      </c>
    </row>
    <row r="70" spans="1:14" x14ac:dyDescent="0.3">
      <c r="A70" s="23" t="s">
        <v>177</v>
      </c>
      <c r="B70" s="23" t="s">
        <v>178</v>
      </c>
      <c r="C70" s="23" t="s">
        <v>23</v>
      </c>
      <c r="D70" s="24">
        <v>166</v>
      </c>
      <c r="E70" s="24">
        <v>108</v>
      </c>
      <c r="F70" s="25">
        <v>115.35</v>
      </c>
      <c r="G70" s="23" t="s">
        <v>24</v>
      </c>
      <c r="H70" s="26">
        <v>45335</v>
      </c>
      <c r="I70" s="26">
        <v>45527</v>
      </c>
      <c r="J70" s="23" t="s">
        <v>18</v>
      </c>
      <c r="K70" s="27" t="s">
        <v>26</v>
      </c>
      <c r="L70" s="25">
        <v>19148.099999999999</v>
      </c>
      <c r="M70" s="23" t="s">
        <v>154</v>
      </c>
      <c r="N70" s="25">
        <v>19148.099999999999</v>
      </c>
    </row>
    <row r="71" spans="1:14" x14ac:dyDescent="0.3">
      <c r="A71" s="28" t="s">
        <v>179</v>
      </c>
      <c r="B71" s="28" t="s">
        <v>180</v>
      </c>
      <c r="C71" s="28" t="s">
        <v>42</v>
      </c>
      <c r="D71" s="29">
        <v>152</v>
      </c>
      <c r="E71" s="29">
        <v>67</v>
      </c>
      <c r="F71" s="30">
        <v>483.61</v>
      </c>
      <c r="G71" s="28" t="s">
        <v>17</v>
      </c>
      <c r="H71" s="31">
        <v>45341</v>
      </c>
      <c r="I71" s="31">
        <v>45508</v>
      </c>
      <c r="J71" s="28" t="s">
        <v>31</v>
      </c>
      <c r="K71" s="27" t="s">
        <v>26</v>
      </c>
      <c r="L71" s="30">
        <v>73508.72</v>
      </c>
      <c r="M71" s="28" t="s">
        <v>154</v>
      </c>
      <c r="N71" s="30">
        <v>73508.72</v>
      </c>
    </row>
    <row r="72" spans="1:14" x14ac:dyDescent="0.3">
      <c r="A72" s="23" t="s">
        <v>181</v>
      </c>
      <c r="B72" s="23" t="s">
        <v>182</v>
      </c>
      <c r="C72" s="23" t="s">
        <v>23</v>
      </c>
      <c r="D72" s="24">
        <v>214</v>
      </c>
      <c r="E72" s="24">
        <v>187</v>
      </c>
      <c r="F72" s="25">
        <v>168.92</v>
      </c>
      <c r="G72" s="23" t="s">
        <v>24</v>
      </c>
      <c r="H72" s="26">
        <v>45347</v>
      </c>
      <c r="I72" s="26">
        <v>45498</v>
      </c>
      <c r="J72" s="23" t="s">
        <v>25</v>
      </c>
      <c r="K72" s="27" t="s">
        <v>26</v>
      </c>
      <c r="L72" s="25">
        <v>36148.879999999997</v>
      </c>
      <c r="M72" s="23" t="s">
        <v>154</v>
      </c>
      <c r="N72" s="25">
        <v>36148.879999999997</v>
      </c>
    </row>
    <row r="73" spans="1:14" x14ac:dyDescent="0.3">
      <c r="A73" s="28" t="s">
        <v>184</v>
      </c>
      <c r="B73" s="28" t="s">
        <v>185</v>
      </c>
      <c r="C73" s="28" t="s">
        <v>42</v>
      </c>
      <c r="D73" s="29">
        <v>307</v>
      </c>
      <c r="E73" s="29">
        <v>117</v>
      </c>
      <c r="F73" s="30">
        <v>23.94</v>
      </c>
      <c r="G73" s="28" t="s">
        <v>24</v>
      </c>
      <c r="H73" s="31">
        <v>45353</v>
      </c>
      <c r="I73" s="31">
        <v>45541</v>
      </c>
      <c r="J73" s="28" t="s">
        <v>31</v>
      </c>
      <c r="K73" s="27" t="s">
        <v>26</v>
      </c>
      <c r="L73" s="30">
        <v>7349.58</v>
      </c>
      <c r="M73" s="28" t="s">
        <v>163</v>
      </c>
      <c r="N73" s="30">
        <v>7349.58</v>
      </c>
    </row>
    <row r="74" spans="1:14" x14ac:dyDescent="0.3">
      <c r="A74" s="23" t="s">
        <v>186</v>
      </c>
      <c r="B74" s="23" t="s">
        <v>187</v>
      </c>
      <c r="C74" s="23" t="s">
        <v>23</v>
      </c>
      <c r="D74" s="24">
        <v>412</v>
      </c>
      <c r="E74" s="24">
        <v>130</v>
      </c>
      <c r="F74" s="25">
        <v>221.01</v>
      </c>
      <c r="G74" s="23" t="s">
        <v>24</v>
      </c>
      <c r="H74" s="26">
        <v>45359</v>
      </c>
      <c r="I74" s="26">
        <v>45541</v>
      </c>
      <c r="J74" s="23" t="s">
        <v>31</v>
      </c>
      <c r="K74" s="27" t="s">
        <v>26</v>
      </c>
      <c r="L74" s="25">
        <v>91056.12</v>
      </c>
      <c r="M74" s="23" t="s">
        <v>163</v>
      </c>
      <c r="N74" s="25">
        <v>91056.12</v>
      </c>
    </row>
    <row r="75" spans="1:14" x14ac:dyDescent="0.3">
      <c r="A75" s="28" t="s">
        <v>188</v>
      </c>
      <c r="B75" s="28" t="s">
        <v>189</v>
      </c>
      <c r="C75" s="28" t="s">
        <v>23</v>
      </c>
      <c r="D75" s="29">
        <v>107</v>
      </c>
      <c r="E75" s="29">
        <v>115</v>
      </c>
      <c r="F75" s="30">
        <v>26.97</v>
      </c>
      <c r="G75" s="28" t="s">
        <v>17</v>
      </c>
      <c r="H75" s="31">
        <v>45365</v>
      </c>
      <c r="I75" s="31">
        <v>45542</v>
      </c>
      <c r="J75" s="28" t="s">
        <v>31</v>
      </c>
      <c r="K75" s="32" t="s">
        <v>19</v>
      </c>
      <c r="L75" s="30">
        <v>2885.79</v>
      </c>
      <c r="M75" s="28" t="s">
        <v>163</v>
      </c>
      <c r="N75" s="30">
        <v>2885.79</v>
      </c>
    </row>
    <row r="76" spans="1:14" x14ac:dyDescent="0.3">
      <c r="A76" s="23" t="s">
        <v>190</v>
      </c>
      <c r="B76" s="23" t="s">
        <v>191</v>
      </c>
      <c r="C76" s="23" t="s">
        <v>16</v>
      </c>
      <c r="D76" s="24">
        <v>361</v>
      </c>
      <c r="E76" s="24">
        <v>100</v>
      </c>
      <c r="F76" s="25">
        <v>185.29</v>
      </c>
      <c r="G76" s="23" t="s">
        <v>24</v>
      </c>
      <c r="H76" s="26">
        <v>45371</v>
      </c>
      <c r="I76" s="26">
        <v>45525</v>
      </c>
      <c r="J76" s="23" t="s">
        <v>31</v>
      </c>
      <c r="K76" s="27" t="s">
        <v>26</v>
      </c>
      <c r="L76" s="25">
        <v>66889.69</v>
      </c>
      <c r="M76" s="23" t="s">
        <v>163</v>
      </c>
      <c r="N76" s="25">
        <v>66889.69</v>
      </c>
    </row>
    <row r="77" spans="1:14" x14ac:dyDescent="0.3">
      <c r="A77" s="28" t="s">
        <v>193</v>
      </c>
      <c r="B77" s="28" t="s">
        <v>194</v>
      </c>
      <c r="C77" s="28" t="s">
        <v>16</v>
      </c>
      <c r="D77" s="29">
        <v>170</v>
      </c>
      <c r="E77" s="29">
        <v>81</v>
      </c>
      <c r="F77" s="30">
        <v>361.28</v>
      </c>
      <c r="G77" s="28" t="s">
        <v>24</v>
      </c>
      <c r="H77" s="31">
        <v>45377</v>
      </c>
      <c r="I77" s="31">
        <v>45546</v>
      </c>
      <c r="J77" s="28" t="s">
        <v>31</v>
      </c>
      <c r="K77" s="27" t="s">
        <v>26</v>
      </c>
      <c r="L77" s="30">
        <v>61417.599999999999</v>
      </c>
      <c r="M77" s="28" t="s">
        <v>163</v>
      </c>
      <c r="N77" s="30">
        <v>61417.599999999999</v>
      </c>
    </row>
    <row r="78" spans="1:14" x14ac:dyDescent="0.3">
      <c r="A78" s="23" t="s">
        <v>195</v>
      </c>
      <c r="B78" s="23" t="s">
        <v>196</v>
      </c>
      <c r="C78" s="23" t="s">
        <v>16</v>
      </c>
      <c r="D78" s="24">
        <v>219</v>
      </c>
      <c r="E78" s="24">
        <v>133</v>
      </c>
      <c r="F78" s="25">
        <v>204.19</v>
      </c>
      <c r="G78" s="23" t="s">
        <v>34</v>
      </c>
      <c r="H78" s="26">
        <v>45383</v>
      </c>
      <c r="I78" s="26">
        <v>45551</v>
      </c>
      <c r="J78" s="23" t="s">
        <v>25</v>
      </c>
      <c r="K78" s="27" t="s">
        <v>26</v>
      </c>
      <c r="L78" s="25">
        <v>44717.61</v>
      </c>
      <c r="M78" s="23" t="s">
        <v>174</v>
      </c>
      <c r="N78" s="25">
        <v>44717.61</v>
      </c>
    </row>
    <row r="79" spans="1:14" x14ac:dyDescent="0.3">
      <c r="A79" s="28" t="s">
        <v>197</v>
      </c>
      <c r="B79" s="28" t="s">
        <v>198</v>
      </c>
      <c r="C79" s="28" t="s">
        <v>23</v>
      </c>
      <c r="D79" s="29">
        <v>225</v>
      </c>
      <c r="E79" s="29">
        <v>147</v>
      </c>
      <c r="F79" s="30">
        <v>340.27</v>
      </c>
      <c r="G79" s="28" t="s">
        <v>17</v>
      </c>
      <c r="H79" s="31">
        <v>45389</v>
      </c>
      <c r="I79" s="31">
        <v>45596</v>
      </c>
      <c r="J79" s="28" t="s">
        <v>31</v>
      </c>
      <c r="K79" s="27" t="s">
        <v>26</v>
      </c>
      <c r="L79" s="30">
        <v>76560.75</v>
      </c>
      <c r="M79" s="28" t="s">
        <v>174</v>
      </c>
      <c r="N79" s="30">
        <v>76560.75</v>
      </c>
    </row>
    <row r="80" spans="1:14" x14ac:dyDescent="0.3">
      <c r="A80" s="23" t="s">
        <v>199</v>
      </c>
      <c r="B80" s="23" t="s">
        <v>200</v>
      </c>
      <c r="C80" s="23" t="s">
        <v>42</v>
      </c>
      <c r="D80" s="24">
        <v>164</v>
      </c>
      <c r="E80" s="24">
        <v>153</v>
      </c>
      <c r="F80" s="25">
        <v>276.23</v>
      </c>
      <c r="G80" s="23" t="s">
        <v>24</v>
      </c>
      <c r="H80" s="26">
        <v>45395</v>
      </c>
      <c r="I80" s="26">
        <v>45545</v>
      </c>
      <c r="J80" s="23" t="s">
        <v>25</v>
      </c>
      <c r="K80" s="27" t="s">
        <v>26</v>
      </c>
      <c r="L80" s="25">
        <v>45301.72</v>
      </c>
      <c r="M80" s="23" t="s">
        <v>174</v>
      </c>
      <c r="N80" s="25">
        <v>45301.72</v>
      </c>
    </row>
    <row r="81" spans="1:14" x14ac:dyDescent="0.3">
      <c r="A81" s="28" t="s">
        <v>201</v>
      </c>
      <c r="B81" s="28" t="s">
        <v>202</v>
      </c>
      <c r="C81" s="28" t="s">
        <v>42</v>
      </c>
      <c r="D81" s="29">
        <v>230</v>
      </c>
      <c r="E81" s="29">
        <v>198</v>
      </c>
      <c r="F81" s="30">
        <v>305.3</v>
      </c>
      <c r="G81" s="28" t="s">
        <v>24</v>
      </c>
      <c r="H81" s="31">
        <v>45401</v>
      </c>
      <c r="I81" s="31">
        <v>45571</v>
      </c>
      <c r="J81" s="28" t="s">
        <v>18</v>
      </c>
      <c r="K81" s="27" t="s">
        <v>26</v>
      </c>
      <c r="L81" s="30">
        <v>70219</v>
      </c>
      <c r="M81" s="28" t="s">
        <v>174</v>
      </c>
      <c r="N81" s="30">
        <v>70219</v>
      </c>
    </row>
    <row r="82" spans="1:14" x14ac:dyDescent="0.3">
      <c r="A82" s="23" t="s">
        <v>204</v>
      </c>
      <c r="B82" s="23" t="s">
        <v>205</v>
      </c>
      <c r="C82" s="23" t="s">
        <v>16</v>
      </c>
      <c r="D82" s="24">
        <v>355</v>
      </c>
      <c r="E82" s="24">
        <v>104</v>
      </c>
      <c r="F82" s="25">
        <v>258.02999999999997</v>
      </c>
      <c r="G82" s="23" t="s">
        <v>34</v>
      </c>
      <c r="H82" s="26">
        <v>45407</v>
      </c>
      <c r="I82" s="26">
        <v>45607</v>
      </c>
      <c r="J82" s="23" t="s">
        <v>31</v>
      </c>
      <c r="K82" s="27" t="s">
        <v>26</v>
      </c>
      <c r="L82" s="25">
        <v>91600.65</v>
      </c>
      <c r="M82" s="23" t="s">
        <v>174</v>
      </c>
      <c r="N82" s="25">
        <v>91600.65</v>
      </c>
    </row>
    <row r="83" spans="1:14" x14ac:dyDescent="0.3">
      <c r="A83" s="28" t="s">
        <v>206</v>
      </c>
      <c r="B83" s="28" t="s">
        <v>207</v>
      </c>
      <c r="C83" s="28" t="s">
        <v>16</v>
      </c>
      <c r="D83" s="29">
        <v>53</v>
      </c>
      <c r="E83" s="29">
        <v>122</v>
      </c>
      <c r="F83" s="30">
        <v>260.14999999999998</v>
      </c>
      <c r="G83" s="28" t="s">
        <v>24</v>
      </c>
      <c r="H83" s="31">
        <v>45413</v>
      </c>
      <c r="I83" s="31">
        <v>45603</v>
      </c>
      <c r="J83" s="28" t="s">
        <v>25</v>
      </c>
      <c r="K83" s="32" t="s">
        <v>19</v>
      </c>
      <c r="L83" s="30">
        <v>13787.95</v>
      </c>
      <c r="M83" s="28" t="s">
        <v>183</v>
      </c>
      <c r="N83" s="30">
        <v>13787.95</v>
      </c>
    </row>
    <row r="84" spans="1:14" x14ac:dyDescent="0.3">
      <c r="A84" s="23" t="s">
        <v>208</v>
      </c>
      <c r="B84" s="23" t="s">
        <v>209</v>
      </c>
      <c r="C84" s="23" t="s">
        <v>23</v>
      </c>
      <c r="D84" s="24">
        <v>429</v>
      </c>
      <c r="E84" s="24">
        <v>110</v>
      </c>
      <c r="F84" s="25">
        <v>338.03</v>
      </c>
      <c r="G84" s="23" t="s">
        <v>34</v>
      </c>
      <c r="H84" s="26">
        <v>45419</v>
      </c>
      <c r="I84" s="26">
        <v>45583</v>
      </c>
      <c r="J84" s="23" t="s">
        <v>25</v>
      </c>
      <c r="K84" s="27" t="s">
        <v>26</v>
      </c>
      <c r="L84" s="25">
        <v>145014.87</v>
      </c>
      <c r="M84" s="23" t="s">
        <v>183</v>
      </c>
      <c r="N84" s="25">
        <v>145014.87</v>
      </c>
    </row>
    <row r="85" spans="1:14" x14ac:dyDescent="0.3">
      <c r="A85" s="28" t="s">
        <v>210</v>
      </c>
      <c r="B85" s="28" t="s">
        <v>211</v>
      </c>
      <c r="C85" s="28" t="s">
        <v>23</v>
      </c>
      <c r="D85" s="29">
        <v>33</v>
      </c>
      <c r="E85" s="29">
        <v>112</v>
      </c>
      <c r="F85" s="30">
        <v>492.05</v>
      </c>
      <c r="G85" s="28" t="s">
        <v>24</v>
      </c>
      <c r="H85" s="31">
        <v>45425</v>
      </c>
      <c r="I85" s="31">
        <v>45614</v>
      </c>
      <c r="J85" s="28" t="s">
        <v>18</v>
      </c>
      <c r="K85" s="32" t="s">
        <v>19</v>
      </c>
      <c r="L85" s="30">
        <v>16237.65</v>
      </c>
      <c r="M85" s="28" t="s">
        <v>183</v>
      </c>
      <c r="N85" s="30">
        <v>16237.65</v>
      </c>
    </row>
    <row r="86" spans="1:14" x14ac:dyDescent="0.3">
      <c r="A86" s="23" t="s">
        <v>213</v>
      </c>
      <c r="B86" s="23" t="s">
        <v>214</v>
      </c>
      <c r="C86" s="23" t="s">
        <v>42</v>
      </c>
      <c r="D86" s="24">
        <v>463</v>
      </c>
      <c r="E86" s="24">
        <v>197</v>
      </c>
      <c r="F86" s="25">
        <v>101.25</v>
      </c>
      <c r="G86" s="23" t="s">
        <v>24</v>
      </c>
      <c r="H86" s="26">
        <v>45431</v>
      </c>
      <c r="I86" s="26">
        <v>45625</v>
      </c>
      <c r="J86" s="23" t="s">
        <v>18</v>
      </c>
      <c r="K86" s="27" t="s">
        <v>26</v>
      </c>
      <c r="L86" s="25">
        <v>46878.75</v>
      </c>
      <c r="M86" s="23" t="s">
        <v>183</v>
      </c>
      <c r="N86" s="25">
        <v>46878.75</v>
      </c>
    </row>
    <row r="87" spans="1:14" x14ac:dyDescent="0.3">
      <c r="A87" s="28" t="s">
        <v>215</v>
      </c>
      <c r="B87" s="28" t="s">
        <v>216</v>
      </c>
      <c r="C87" s="28" t="s">
        <v>23</v>
      </c>
      <c r="D87" s="29">
        <v>134</v>
      </c>
      <c r="E87" s="29">
        <v>87</v>
      </c>
      <c r="F87" s="30">
        <v>329.75</v>
      </c>
      <c r="G87" s="28" t="s">
        <v>24</v>
      </c>
      <c r="H87" s="31">
        <v>45437</v>
      </c>
      <c r="I87" s="31">
        <v>45587</v>
      </c>
      <c r="J87" s="28" t="s">
        <v>25</v>
      </c>
      <c r="K87" s="27" t="s">
        <v>26</v>
      </c>
      <c r="L87" s="30">
        <v>44186.5</v>
      </c>
      <c r="M87" s="28" t="s">
        <v>183</v>
      </c>
      <c r="N87" s="30">
        <v>44186.5</v>
      </c>
    </row>
    <row r="88" spans="1:14" x14ac:dyDescent="0.3">
      <c r="A88" s="23" t="s">
        <v>217</v>
      </c>
      <c r="B88" s="23" t="s">
        <v>218</v>
      </c>
      <c r="C88" s="23" t="s">
        <v>23</v>
      </c>
      <c r="D88" s="24">
        <v>100</v>
      </c>
      <c r="E88" s="24">
        <v>182</v>
      </c>
      <c r="F88" s="25">
        <v>234.95</v>
      </c>
      <c r="G88" s="23" t="s">
        <v>34</v>
      </c>
      <c r="H88" s="26">
        <v>45443</v>
      </c>
      <c r="I88" s="26">
        <v>45628</v>
      </c>
      <c r="J88" s="23" t="s">
        <v>18</v>
      </c>
      <c r="K88" s="32" t="s">
        <v>19</v>
      </c>
      <c r="L88" s="25">
        <v>23495</v>
      </c>
      <c r="M88" s="23" t="s">
        <v>183</v>
      </c>
      <c r="N88" s="25">
        <v>23495</v>
      </c>
    </row>
    <row r="89" spans="1:14" x14ac:dyDescent="0.3">
      <c r="A89" s="28" t="s">
        <v>219</v>
      </c>
      <c r="B89" s="28" t="s">
        <v>220</v>
      </c>
      <c r="C89" s="28" t="s">
        <v>16</v>
      </c>
      <c r="D89" s="29">
        <v>78</v>
      </c>
      <c r="E89" s="29">
        <v>168</v>
      </c>
      <c r="F89" s="30">
        <v>335.45</v>
      </c>
      <c r="G89" s="28" t="s">
        <v>24</v>
      </c>
      <c r="H89" s="31">
        <v>45449</v>
      </c>
      <c r="I89" s="31">
        <v>45634</v>
      </c>
      <c r="J89" s="28" t="s">
        <v>18</v>
      </c>
      <c r="K89" s="32" t="s">
        <v>19</v>
      </c>
      <c r="L89" s="30">
        <v>26165.1</v>
      </c>
      <c r="M89" s="28" t="s">
        <v>192</v>
      </c>
      <c r="N89" s="30">
        <v>26165.1</v>
      </c>
    </row>
    <row r="90" spans="1:14" x14ac:dyDescent="0.3">
      <c r="A90" s="23" t="s">
        <v>222</v>
      </c>
      <c r="B90" s="23" t="s">
        <v>223</v>
      </c>
      <c r="C90" s="23" t="s">
        <v>16</v>
      </c>
      <c r="D90" s="24">
        <v>323</v>
      </c>
      <c r="E90" s="24">
        <v>179</v>
      </c>
      <c r="F90" s="25">
        <v>216.24</v>
      </c>
      <c r="G90" s="23" t="s">
        <v>24</v>
      </c>
      <c r="H90" s="26">
        <v>45455</v>
      </c>
      <c r="I90" s="26">
        <v>45663</v>
      </c>
      <c r="J90" s="23" t="s">
        <v>25</v>
      </c>
      <c r="K90" s="27" t="s">
        <v>26</v>
      </c>
      <c r="L90" s="25">
        <v>69845.52</v>
      </c>
      <c r="M90" s="23" t="s">
        <v>192</v>
      </c>
      <c r="N90" s="25">
        <v>69845.52</v>
      </c>
    </row>
    <row r="91" spans="1:14" x14ac:dyDescent="0.3">
      <c r="A91" s="28" t="s">
        <v>224</v>
      </c>
      <c r="B91" s="28" t="s">
        <v>225</v>
      </c>
      <c r="C91" s="28" t="s">
        <v>23</v>
      </c>
      <c r="D91" s="29">
        <v>390</v>
      </c>
      <c r="E91" s="29">
        <v>171</v>
      </c>
      <c r="F91" s="30">
        <v>227.78</v>
      </c>
      <c r="G91" s="28" t="s">
        <v>17</v>
      </c>
      <c r="H91" s="31">
        <v>45461</v>
      </c>
      <c r="I91" s="31">
        <v>45659</v>
      </c>
      <c r="J91" s="28" t="s">
        <v>18</v>
      </c>
      <c r="K91" s="27" t="s">
        <v>26</v>
      </c>
      <c r="L91" s="30">
        <v>88834.2</v>
      </c>
      <c r="M91" s="28" t="s">
        <v>192</v>
      </c>
      <c r="N91" s="30">
        <v>88834.2</v>
      </c>
    </row>
    <row r="92" spans="1:14" x14ac:dyDescent="0.3">
      <c r="A92" s="23" t="s">
        <v>226</v>
      </c>
      <c r="B92" s="23" t="s">
        <v>227</v>
      </c>
      <c r="C92" s="23" t="s">
        <v>42</v>
      </c>
      <c r="D92" s="24">
        <v>402</v>
      </c>
      <c r="E92" s="24">
        <v>183</v>
      </c>
      <c r="F92" s="25">
        <v>244.88</v>
      </c>
      <c r="G92" s="23" t="s">
        <v>24</v>
      </c>
      <c r="H92" s="26">
        <v>45467</v>
      </c>
      <c r="I92" s="26">
        <v>45632</v>
      </c>
      <c r="J92" s="23" t="s">
        <v>25</v>
      </c>
      <c r="K92" s="27" t="s">
        <v>26</v>
      </c>
      <c r="L92" s="25">
        <v>98441.76</v>
      </c>
      <c r="M92" s="23" t="s">
        <v>192</v>
      </c>
      <c r="N92" s="25">
        <v>98441.76</v>
      </c>
    </row>
    <row r="93" spans="1:14" x14ac:dyDescent="0.3">
      <c r="A93" s="28" t="s">
        <v>228</v>
      </c>
      <c r="B93" s="28" t="s">
        <v>229</v>
      </c>
      <c r="C93" s="28" t="s">
        <v>42</v>
      </c>
      <c r="D93" s="29">
        <v>375</v>
      </c>
      <c r="E93" s="29">
        <v>123</v>
      </c>
      <c r="F93" s="30">
        <v>121.07</v>
      </c>
      <c r="G93" s="28" t="s">
        <v>17</v>
      </c>
      <c r="H93" s="31">
        <v>45473</v>
      </c>
      <c r="I93" s="31">
        <v>45644</v>
      </c>
      <c r="J93" s="28" t="s">
        <v>25</v>
      </c>
      <c r="K93" s="27" t="s">
        <v>26</v>
      </c>
      <c r="L93" s="30">
        <v>45401.25</v>
      </c>
      <c r="M93" s="28" t="s">
        <v>192</v>
      </c>
      <c r="N93" s="30">
        <v>45401.25</v>
      </c>
    </row>
    <row r="94" spans="1:14" x14ac:dyDescent="0.3">
      <c r="A94" s="23" t="s">
        <v>230</v>
      </c>
      <c r="B94" s="23" t="s">
        <v>231</v>
      </c>
      <c r="C94" s="23" t="s">
        <v>23</v>
      </c>
      <c r="D94" s="24">
        <v>80</v>
      </c>
      <c r="E94" s="24">
        <v>88</v>
      </c>
      <c r="F94" s="25">
        <v>119.47</v>
      </c>
      <c r="G94" s="23" t="s">
        <v>17</v>
      </c>
      <c r="H94" s="26">
        <v>45479</v>
      </c>
      <c r="I94" s="26">
        <v>45673</v>
      </c>
      <c r="J94" s="23" t="s">
        <v>25</v>
      </c>
      <c r="K94" s="32" t="s">
        <v>19</v>
      </c>
      <c r="L94" s="25">
        <v>9557.6</v>
      </c>
      <c r="M94" s="23" t="s">
        <v>203</v>
      </c>
      <c r="N94" s="25">
        <v>9557.6</v>
      </c>
    </row>
    <row r="95" spans="1:14" x14ac:dyDescent="0.3">
      <c r="A95" s="28" t="s">
        <v>233</v>
      </c>
      <c r="B95" s="28" t="s">
        <v>234</v>
      </c>
      <c r="C95" s="28" t="s">
        <v>42</v>
      </c>
      <c r="D95" s="29">
        <v>42</v>
      </c>
      <c r="E95" s="29">
        <v>156</v>
      </c>
      <c r="F95" s="30">
        <v>206.76</v>
      </c>
      <c r="G95" s="28" t="s">
        <v>24</v>
      </c>
      <c r="H95" s="31">
        <v>45485</v>
      </c>
      <c r="I95" s="31">
        <v>45669</v>
      </c>
      <c r="J95" s="28" t="s">
        <v>25</v>
      </c>
      <c r="K95" s="32" t="s">
        <v>19</v>
      </c>
      <c r="L95" s="30">
        <v>8683.92</v>
      </c>
      <c r="M95" s="28" t="s">
        <v>203</v>
      </c>
      <c r="N95" s="30">
        <v>8683.92</v>
      </c>
    </row>
    <row r="96" spans="1:14" x14ac:dyDescent="0.3">
      <c r="A96" s="23" t="s">
        <v>235</v>
      </c>
      <c r="B96" s="23" t="s">
        <v>236</v>
      </c>
      <c r="C96" s="23" t="s">
        <v>16</v>
      </c>
      <c r="D96" s="24">
        <v>115</v>
      </c>
      <c r="E96" s="24">
        <v>157</v>
      </c>
      <c r="F96" s="25">
        <v>197.79</v>
      </c>
      <c r="G96" s="23" t="s">
        <v>17</v>
      </c>
      <c r="H96" s="26">
        <v>45491</v>
      </c>
      <c r="I96" s="26">
        <v>45690</v>
      </c>
      <c r="J96" s="23" t="s">
        <v>25</v>
      </c>
      <c r="K96" s="32" t="s">
        <v>19</v>
      </c>
      <c r="L96" s="25">
        <v>22745.85</v>
      </c>
      <c r="M96" s="23" t="s">
        <v>203</v>
      </c>
      <c r="N96" s="25">
        <v>22745.85</v>
      </c>
    </row>
    <row r="97" spans="1:14" x14ac:dyDescent="0.3">
      <c r="A97" s="28" t="s">
        <v>237</v>
      </c>
      <c r="B97" s="28" t="s">
        <v>238</v>
      </c>
      <c r="C97" s="28" t="s">
        <v>42</v>
      </c>
      <c r="D97" s="29">
        <v>448</v>
      </c>
      <c r="E97" s="29">
        <v>197</v>
      </c>
      <c r="F97" s="30">
        <v>193.29</v>
      </c>
      <c r="G97" s="28" t="s">
        <v>24</v>
      </c>
      <c r="H97" s="31">
        <v>45497</v>
      </c>
      <c r="I97" s="31">
        <v>45647</v>
      </c>
      <c r="J97" s="28" t="s">
        <v>18</v>
      </c>
      <c r="K97" s="27" t="s">
        <v>26</v>
      </c>
      <c r="L97" s="30">
        <v>86593.919999999998</v>
      </c>
      <c r="M97" s="28" t="s">
        <v>203</v>
      </c>
      <c r="N97" s="30">
        <v>86593.919999999998</v>
      </c>
    </row>
    <row r="98" spans="1:14" x14ac:dyDescent="0.3">
      <c r="A98" s="23" t="s">
        <v>239</v>
      </c>
      <c r="B98" s="23" t="s">
        <v>240</v>
      </c>
      <c r="C98" s="23" t="s">
        <v>16</v>
      </c>
      <c r="D98" s="24">
        <v>446</v>
      </c>
      <c r="E98" s="24">
        <v>157</v>
      </c>
      <c r="F98" s="25">
        <v>271.42</v>
      </c>
      <c r="G98" s="23" t="s">
        <v>17</v>
      </c>
      <c r="H98" s="26">
        <v>45503</v>
      </c>
      <c r="I98" s="26">
        <v>45700</v>
      </c>
      <c r="J98" s="23" t="s">
        <v>25</v>
      </c>
      <c r="K98" s="27" t="s">
        <v>26</v>
      </c>
      <c r="L98" s="25">
        <v>121053.32</v>
      </c>
      <c r="M98" s="23" t="s">
        <v>203</v>
      </c>
      <c r="N98" s="25">
        <v>121053.32</v>
      </c>
    </row>
    <row r="99" spans="1:14" x14ac:dyDescent="0.3">
      <c r="A99" s="28" t="s">
        <v>242</v>
      </c>
      <c r="B99" s="28" t="s">
        <v>243</v>
      </c>
      <c r="C99" s="28" t="s">
        <v>23</v>
      </c>
      <c r="D99" s="29">
        <v>259</v>
      </c>
      <c r="E99" s="29">
        <v>106</v>
      </c>
      <c r="F99" s="30">
        <v>140.1</v>
      </c>
      <c r="G99" s="28" t="s">
        <v>24</v>
      </c>
      <c r="H99" s="31">
        <v>45509</v>
      </c>
      <c r="I99" s="31">
        <v>45690</v>
      </c>
      <c r="J99" s="28" t="s">
        <v>18</v>
      </c>
      <c r="K99" s="27" t="s">
        <v>26</v>
      </c>
      <c r="L99" s="30">
        <v>36285.9</v>
      </c>
      <c r="M99" s="28" t="s">
        <v>212</v>
      </c>
      <c r="N99" s="30">
        <v>36285.9</v>
      </c>
    </row>
    <row r="100" spans="1:14" x14ac:dyDescent="0.3">
      <c r="A100" s="23" t="s">
        <v>244</v>
      </c>
      <c r="B100" s="23" t="s">
        <v>245</v>
      </c>
      <c r="C100" s="23" t="s">
        <v>42</v>
      </c>
      <c r="D100" s="24">
        <v>352</v>
      </c>
      <c r="E100" s="24">
        <v>153</v>
      </c>
      <c r="F100" s="25">
        <v>363.47</v>
      </c>
      <c r="G100" s="23" t="s">
        <v>34</v>
      </c>
      <c r="H100" s="26">
        <v>45515</v>
      </c>
      <c r="I100" s="26">
        <v>45718</v>
      </c>
      <c r="J100" s="23" t="s">
        <v>31</v>
      </c>
      <c r="K100" s="27" t="s">
        <v>26</v>
      </c>
      <c r="L100" s="25">
        <v>127941.44</v>
      </c>
      <c r="M100" s="23" t="s">
        <v>212</v>
      </c>
      <c r="N100" s="25">
        <v>127941.44</v>
      </c>
    </row>
    <row r="101" spans="1:14" x14ac:dyDescent="0.3">
      <c r="A101" s="28" t="s">
        <v>246</v>
      </c>
      <c r="B101" s="28" t="s">
        <v>247</v>
      </c>
      <c r="C101" s="28" t="s">
        <v>16</v>
      </c>
      <c r="D101" s="29">
        <v>283</v>
      </c>
      <c r="E101" s="29">
        <v>56</v>
      </c>
      <c r="F101" s="30">
        <v>453.93</v>
      </c>
      <c r="G101" s="28" t="s">
        <v>17</v>
      </c>
      <c r="H101" s="31">
        <v>45521</v>
      </c>
      <c r="I101" s="31">
        <v>45708</v>
      </c>
      <c r="J101" s="28" t="s">
        <v>25</v>
      </c>
      <c r="K101" s="27" t="s">
        <v>26</v>
      </c>
      <c r="L101" s="30">
        <v>128462.19</v>
      </c>
      <c r="M101" s="28" t="s">
        <v>212</v>
      </c>
      <c r="N101" s="30">
        <v>128462.19</v>
      </c>
    </row>
    <row r="102" spans="1:14" x14ac:dyDescent="0.3">
      <c r="A102" s="23" t="s">
        <v>248</v>
      </c>
      <c r="B102" s="23" t="s">
        <v>249</v>
      </c>
      <c r="C102" s="23" t="s">
        <v>23</v>
      </c>
      <c r="D102" s="24">
        <v>52</v>
      </c>
      <c r="E102" s="24">
        <v>159</v>
      </c>
      <c r="F102" s="25">
        <v>72.17</v>
      </c>
      <c r="G102" s="23" t="s">
        <v>34</v>
      </c>
      <c r="H102" s="26">
        <v>45527</v>
      </c>
      <c r="I102" s="26">
        <v>45706</v>
      </c>
      <c r="J102" s="23" t="s">
        <v>18</v>
      </c>
      <c r="K102" s="32" t="s">
        <v>19</v>
      </c>
      <c r="L102" s="25">
        <v>3752.84</v>
      </c>
      <c r="M102" s="23" t="s">
        <v>212</v>
      </c>
      <c r="N102" s="25">
        <v>3752.84</v>
      </c>
    </row>
    <row r="103" spans="1:14" x14ac:dyDescent="0.3">
      <c r="A103" s="28" t="s">
        <v>251</v>
      </c>
      <c r="B103" s="28" t="s">
        <v>252</v>
      </c>
      <c r="C103" s="28" t="s">
        <v>42</v>
      </c>
      <c r="D103" s="29">
        <v>204</v>
      </c>
      <c r="E103" s="29">
        <v>133</v>
      </c>
      <c r="F103" s="30">
        <v>109.77</v>
      </c>
      <c r="G103" s="28" t="s">
        <v>24</v>
      </c>
      <c r="H103" s="31">
        <v>45533</v>
      </c>
      <c r="I103" s="31">
        <v>45703</v>
      </c>
      <c r="J103" s="28" t="s">
        <v>18</v>
      </c>
      <c r="K103" s="27" t="s">
        <v>26</v>
      </c>
      <c r="L103" s="30">
        <v>22393.08</v>
      </c>
      <c r="M103" s="28" t="s">
        <v>212</v>
      </c>
      <c r="N103" s="30">
        <v>22393.08</v>
      </c>
    </row>
    <row r="104" spans="1:14" x14ac:dyDescent="0.3">
      <c r="A104" s="23" t="s">
        <v>253</v>
      </c>
      <c r="B104" s="23" t="s">
        <v>254</v>
      </c>
      <c r="C104" s="23" t="s">
        <v>42</v>
      </c>
      <c r="D104" s="24">
        <v>395</v>
      </c>
      <c r="E104" s="24">
        <v>157</v>
      </c>
      <c r="F104" s="25">
        <v>129.87</v>
      </c>
      <c r="G104" s="23" t="s">
        <v>34</v>
      </c>
      <c r="H104" s="26">
        <v>45539</v>
      </c>
      <c r="I104" s="26">
        <v>45694</v>
      </c>
      <c r="J104" s="23" t="s">
        <v>31</v>
      </c>
      <c r="K104" s="27" t="s">
        <v>26</v>
      </c>
      <c r="L104" s="25">
        <v>51298.65</v>
      </c>
      <c r="M104" s="23" t="s">
        <v>221</v>
      </c>
      <c r="N104" s="25">
        <v>51298.65</v>
      </c>
    </row>
    <row r="105" spans="1:14" x14ac:dyDescent="0.3">
      <c r="A105" s="28" t="s">
        <v>255</v>
      </c>
      <c r="B105" s="28" t="s">
        <v>256</v>
      </c>
      <c r="C105" s="28" t="s">
        <v>23</v>
      </c>
      <c r="D105" s="29">
        <v>286</v>
      </c>
      <c r="E105" s="29">
        <v>63</v>
      </c>
      <c r="F105" s="30">
        <v>499.95</v>
      </c>
      <c r="G105" s="28" t="s">
        <v>17</v>
      </c>
      <c r="H105" s="31">
        <v>45545</v>
      </c>
      <c r="I105" s="31">
        <v>45717</v>
      </c>
      <c r="J105" s="28" t="s">
        <v>25</v>
      </c>
      <c r="K105" s="27" t="s">
        <v>26</v>
      </c>
      <c r="L105" s="30">
        <v>142985.70000000001</v>
      </c>
      <c r="M105" s="28" t="s">
        <v>221</v>
      </c>
      <c r="N105" s="30">
        <v>142985.70000000001</v>
      </c>
    </row>
    <row r="106" spans="1:14" x14ac:dyDescent="0.3">
      <c r="A106" s="23" t="s">
        <v>257</v>
      </c>
      <c r="B106" s="23" t="s">
        <v>258</v>
      </c>
      <c r="C106" s="23" t="s">
        <v>23</v>
      </c>
      <c r="D106" s="24">
        <v>409</v>
      </c>
      <c r="E106" s="24">
        <v>60</v>
      </c>
      <c r="F106" s="25">
        <v>378.35</v>
      </c>
      <c r="G106" s="23" t="s">
        <v>34</v>
      </c>
      <c r="H106" s="26">
        <v>45551</v>
      </c>
      <c r="I106" s="26">
        <v>45761</v>
      </c>
      <c r="J106" s="23" t="s">
        <v>25</v>
      </c>
      <c r="K106" s="27" t="s">
        <v>26</v>
      </c>
      <c r="L106" s="25">
        <v>154745.15</v>
      </c>
      <c r="M106" s="23" t="s">
        <v>221</v>
      </c>
      <c r="N106" s="25">
        <v>154745.15</v>
      </c>
    </row>
    <row r="107" spans="1:14" x14ac:dyDescent="0.3">
      <c r="A107" s="28" t="s">
        <v>259</v>
      </c>
      <c r="B107" s="28" t="s">
        <v>260</v>
      </c>
      <c r="C107" s="28" t="s">
        <v>16</v>
      </c>
      <c r="D107" s="29">
        <v>328</v>
      </c>
      <c r="E107" s="29">
        <v>89</v>
      </c>
      <c r="F107" s="30">
        <v>123.08</v>
      </c>
      <c r="G107" s="28" t="s">
        <v>34</v>
      </c>
      <c r="H107" s="31">
        <v>45557</v>
      </c>
      <c r="I107" s="31">
        <v>45737</v>
      </c>
      <c r="J107" s="28" t="s">
        <v>31</v>
      </c>
      <c r="K107" s="27" t="s">
        <v>26</v>
      </c>
      <c r="L107" s="30">
        <v>40370.239999999998</v>
      </c>
      <c r="M107" s="28" t="s">
        <v>221</v>
      </c>
      <c r="N107" s="30">
        <v>40370.239999999998</v>
      </c>
    </row>
    <row r="108" spans="1:14" x14ac:dyDescent="0.3">
      <c r="A108" s="23" t="s">
        <v>262</v>
      </c>
      <c r="B108" s="23" t="s">
        <v>263</v>
      </c>
      <c r="C108" s="23" t="s">
        <v>42</v>
      </c>
      <c r="D108" s="24">
        <v>495</v>
      </c>
      <c r="E108" s="24">
        <v>105</v>
      </c>
      <c r="F108" s="25">
        <v>235.19</v>
      </c>
      <c r="G108" s="23" t="s">
        <v>34</v>
      </c>
      <c r="H108" s="26">
        <v>45563</v>
      </c>
      <c r="I108" s="26">
        <v>45729</v>
      </c>
      <c r="J108" s="23" t="s">
        <v>31</v>
      </c>
      <c r="K108" s="27" t="s">
        <v>26</v>
      </c>
      <c r="L108" s="25">
        <v>116419.05</v>
      </c>
      <c r="M108" s="23" t="s">
        <v>221</v>
      </c>
      <c r="N108" s="25">
        <v>116419.05</v>
      </c>
    </row>
    <row r="109" spans="1:14" x14ac:dyDescent="0.3">
      <c r="A109" s="28" t="s">
        <v>264</v>
      </c>
      <c r="B109" s="28" t="s">
        <v>265</v>
      </c>
      <c r="C109" s="28" t="s">
        <v>42</v>
      </c>
      <c r="D109" s="29">
        <v>320</v>
      </c>
      <c r="E109" s="29">
        <v>79</v>
      </c>
      <c r="F109" s="30">
        <v>390.01</v>
      </c>
      <c r="G109" s="28" t="s">
        <v>34</v>
      </c>
      <c r="H109" s="31">
        <v>45569</v>
      </c>
      <c r="I109" s="31">
        <v>45729</v>
      </c>
      <c r="J109" s="28" t="s">
        <v>31</v>
      </c>
      <c r="K109" s="27" t="s">
        <v>26</v>
      </c>
      <c r="L109" s="30">
        <v>124803.2</v>
      </c>
      <c r="M109" s="28" t="s">
        <v>232</v>
      </c>
      <c r="N109" s="30">
        <v>124803.2</v>
      </c>
    </row>
    <row r="110" spans="1:14" x14ac:dyDescent="0.3">
      <c r="A110" s="23" t="s">
        <v>266</v>
      </c>
      <c r="B110" s="23" t="s">
        <v>267</v>
      </c>
      <c r="C110" s="23" t="s">
        <v>42</v>
      </c>
      <c r="D110" s="24">
        <v>23</v>
      </c>
      <c r="E110" s="24">
        <v>129</v>
      </c>
      <c r="F110" s="25">
        <v>290.02</v>
      </c>
      <c r="G110" s="23" t="s">
        <v>24</v>
      </c>
      <c r="H110" s="26">
        <v>45575</v>
      </c>
      <c r="I110" s="26">
        <v>45783</v>
      </c>
      <c r="J110" s="23" t="s">
        <v>31</v>
      </c>
      <c r="K110" s="32" t="s">
        <v>19</v>
      </c>
      <c r="L110" s="25">
        <v>6670.46</v>
      </c>
      <c r="M110" s="23" t="s">
        <v>232</v>
      </c>
      <c r="N110" s="25">
        <v>6670.46</v>
      </c>
    </row>
    <row r="111" spans="1:14" x14ac:dyDescent="0.3">
      <c r="A111" s="28" t="s">
        <v>268</v>
      </c>
      <c r="B111" s="28" t="s">
        <v>269</v>
      </c>
      <c r="C111" s="28" t="s">
        <v>16</v>
      </c>
      <c r="D111" s="29">
        <v>111</v>
      </c>
      <c r="E111" s="29">
        <v>69</v>
      </c>
      <c r="F111" s="30">
        <v>298.08999999999997</v>
      </c>
      <c r="G111" s="28" t="s">
        <v>34</v>
      </c>
      <c r="H111" s="31">
        <v>45581</v>
      </c>
      <c r="I111" s="31">
        <v>45784</v>
      </c>
      <c r="J111" s="28" t="s">
        <v>25</v>
      </c>
      <c r="K111" s="27" t="s">
        <v>26</v>
      </c>
      <c r="L111" s="30">
        <v>33087.99</v>
      </c>
      <c r="M111" s="28" t="s">
        <v>232</v>
      </c>
      <c r="N111" s="30">
        <v>33087.99</v>
      </c>
    </row>
    <row r="112" spans="1:14" x14ac:dyDescent="0.3">
      <c r="A112" s="23" t="s">
        <v>271</v>
      </c>
      <c r="B112" s="23" t="s">
        <v>272</v>
      </c>
      <c r="C112" s="23" t="s">
        <v>23</v>
      </c>
      <c r="D112" s="24">
        <v>366</v>
      </c>
      <c r="E112" s="24">
        <v>127</v>
      </c>
      <c r="F112" s="25">
        <v>425.9</v>
      </c>
      <c r="G112" s="23" t="s">
        <v>17</v>
      </c>
      <c r="H112" s="26">
        <v>45587</v>
      </c>
      <c r="I112" s="26">
        <v>45775</v>
      </c>
      <c r="J112" s="23" t="s">
        <v>25</v>
      </c>
      <c r="K112" s="27" t="s">
        <v>26</v>
      </c>
      <c r="L112" s="25">
        <v>155879.4</v>
      </c>
      <c r="M112" s="23" t="s">
        <v>232</v>
      </c>
      <c r="N112" s="25">
        <v>155879.4</v>
      </c>
    </row>
    <row r="113" spans="1:14" x14ac:dyDescent="0.3">
      <c r="A113" s="28" t="s">
        <v>273</v>
      </c>
      <c r="B113" s="28" t="s">
        <v>274</v>
      </c>
      <c r="C113" s="28" t="s">
        <v>23</v>
      </c>
      <c r="D113" s="29">
        <v>187</v>
      </c>
      <c r="E113" s="29">
        <v>186</v>
      </c>
      <c r="F113" s="30">
        <v>217.05</v>
      </c>
      <c r="G113" s="28" t="s">
        <v>17</v>
      </c>
      <c r="H113" s="31">
        <v>45593</v>
      </c>
      <c r="I113" s="31">
        <v>45766</v>
      </c>
      <c r="J113" s="28" t="s">
        <v>31</v>
      </c>
      <c r="K113" s="27" t="s">
        <v>26</v>
      </c>
      <c r="L113" s="30">
        <v>40588.35</v>
      </c>
      <c r="M113" s="28" t="s">
        <v>232</v>
      </c>
      <c r="N113" s="30">
        <v>40588.35</v>
      </c>
    </row>
    <row r="114" spans="1:14" x14ac:dyDescent="0.3">
      <c r="A114" s="23" t="s">
        <v>275</v>
      </c>
      <c r="B114" s="23" t="s">
        <v>276</v>
      </c>
      <c r="C114" s="23" t="s">
        <v>42</v>
      </c>
      <c r="D114" s="24">
        <v>184</v>
      </c>
      <c r="E114" s="24">
        <v>53</v>
      </c>
      <c r="F114" s="25">
        <v>425.54</v>
      </c>
      <c r="G114" s="23" t="s">
        <v>34</v>
      </c>
      <c r="H114" s="26">
        <v>45599</v>
      </c>
      <c r="I114" s="26">
        <v>45801</v>
      </c>
      <c r="J114" s="23" t="s">
        <v>18</v>
      </c>
      <c r="K114" s="27" t="s">
        <v>26</v>
      </c>
      <c r="L114" s="25">
        <v>78299.360000000001</v>
      </c>
      <c r="M114" s="23" t="s">
        <v>241</v>
      </c>
      <c r="N114" s="25">
        <v>78299.360000000001</v>
      </c>
    </row>
    <row r="115" spans="1:14" x14ac:dyDescent="0.3">
      <c r="A115" s="28" t="s">
        <v>277</v>
      </c>
      <c r="B115" s="28" t="s">
        <v>278</v>
      </c>
      <c r="C115" s="28" t="s">
        <v>23</v>
      </c>
      <c r="D115" s="29">
        <v>195</v>
      </c>
      <c r="E115" s="29">
        <v>167</v>
      </c>
      <c r="F115" s="30">
        <v>355.12</v>
      </c>
      <c r="G115" s="28" t="s">
        <v>17</v>
      </c>
      <c r="H115" s="31">
        <v>45605</v>
      </c>
      <c r="I115" s="31">
        <v>45782</v>
      </c>
      <c r="J115" s="28" t="s">
        <v>31</v>
      </c>
      <c r="K115" s="27" t="s">
        <v>26</v>
      </c>
      <c r="L115" s="30">
        <v>69248.399999999994</v>
      </c>
      <c r="M115" s="28" t="s">
        <v>241</v>
      </c>
      <c r="N115" s="30">
        <v>69248.399999999994</v>
      </c>
    </row>
    <row r="116" spans="1:14" x14ac:dyDescent="0.3">
      <c r="A116" s="23" t="s">
        <v>280</v>
      </c>
      <c r="B116" s="23" t="s">
        <v>281</v>
      </c>
      <c r="C116" s="23" t="s">
        <v>16</v>
      </c>
      <c r="D116" s="24">
        <v>343</v>
      </c>
      <c r="E116" s="24">
        <v>119</v>
      </c>
      <c r="F116" s="25">
        <v>309.88</v>
      </c>
      <c r="G116" s="23" t="s">
        <v>24</v>
      </c>
      <c r="H116" s="26">
        <v>45611</v>
      </c>
      <c r="I116" s="26">
        <v>45819</v>
      </c>
      <c r="J116" s="23" t="s">
        <v>18</v>
      </c>
      <c r="K116" s="27" t="s">
        <v>26</v>
      </c>
      <c r="L116" s="25">
        <v>106288.84</v>
      </c>
      <c r="M116" s="23" t="s">
        <v>241</v>
      </c>
      <c r="N116" s="25">
        <v>106288.84</v>
      </c>
    </row>
    <row r="117" spans="1:14" x14ac:dyDescent="0.3">
      <c r="A117" s="28" t="s">
        <v>282</v>
      </c>
      <c r="B117" s="28" t="s">
        <v>283</v>
      </c>
      <c r="C117" s="28" t="s">
        <v>23</v>
      </c>
      <c r="D117" s="29">
        <v>233</v>
      </c>
      <c r="E117" s="29">
        <v>118</v>
      </c>
      <c r="F117" s="30">
        <v>164.54</v>
      </c>
      <c r="G117" s="28" t="s">
        <v>24</v>
      </c>
      <c r="H117" s="31">
        <v>45617</v>
      </c>
      <c r="I117" s="31">
        <v>45782</v>
      </c>
      <c r="J117" s="28" t="s">
        <v>18</v>
      </c>
      <c r="K117" s="27" t="s">
        <v>26</v>
      </c>
      <c r="L117" s="30">
        <v>38337.82</v>
      </c>
      <c r="M117" s="28" t="s">
        <v>241</v>
      </c>
      <c r="N117" s="30">
        <v>38337.82</v>
      </c>
    </row>
    <row r="118" spans="1:14" x14ac:dyDescent="0.3">
      <c r="A118" s="23" t="s">
        <v>284</v>
      </c>
      <c r="B118" s="23" t="s">
        <v>285</v>
      </c>
      <c r="C118" s="23" t="s">
        <v>42</v>
      </c>
      <c r="D118" s="24">
        <v>134</v>
      </c>
      <c r="E118" s="24">
        <v>168</v>
      </c>
      <c r="F118" s="25">
        <v>287.08</v>
      </c>
      <c r="G118" s="23" t="s">
        <v>24</v>
      </c>
      <c r="H118" s="26">
        <v>45623</v>
      </c>
      <c r="I118" s="26">
        <v>45815</v>
      </c>
      <c r="J118" s="23" t="s">
        <v>25</v>
      </c>
      <c r="K118" s="32" t="s">
        <v>19</v>
      </c>
      <c r="L118" s="25">
        <v>38468.720000000001</v>
      </c>
      <c r="M118" s="23" t="s">
        <v>241</v>
      </c>
      <c r="N118" s="25">
        <v>38468.720000000001</v>
      </c>
    </row>
    <row r="119" spans="1:14" x14ac:dyDescent="0.3">
      <c r="A119" s="28" t="s">
        <v>286</v>
      </c>
      <c r="B119" s="28" t="s">
        <v>287</v>
      </c>
      <c r="C119" s="28" t="s">
        <v>42</v>
      </c>
      <c r="D119" s="29">
        <v>263</v>
      </c>
      <c r="E119" s="29">
        <v>133</v>
      </c>
      <c r="F119" s="30">
        <v>95.01</v>
      </c>
      <c r="G119" s="28" t="s">
        <v>24</v>
      </c>
      <c r="H119" s="31">
        <v>45629</v>
      </c>
      <c r="I119" s="31">
        <v>45792</v>
      </c>
      <c r="J119" s="28" t="s">
        <v>18</v>
      </c>
      <c r="K119" s="27" t="s">
        <v>26</v>
      </c>
      <c r="L119" s="30">
        <v>24987.63</v>
      </c>
      <c r="M119" s="28" t="s">
        <v>250</v>
      </c>
      <c r="N119" s="30">
        <v>24987.63</v>
      </c>
    </row>
    <row r="120" spans="1:14" x14ac:dyDescent="0.3">
      <c r="A120" s="23" t="s">
        <v>288</v>
      </c>
      <c r="B120" s="23" t="s">
        <v>289</v>
      </c>
      <c r="C120" s="23" t="s">
        <v>23</v>
      </c>
      <c r="D120" s="24">
        <v>153</v>
      </c>
      <c r="E120" s="24">
        <v>120</v>
      </c>
      <c r="F120" s="25">
        <v>280.12</v>
      </c>
      <c r="G120" s="23" t="s">
        <v>34</v>
      </c>
      <c r="H120" s="26">
        <v>45635</v>
      </c>
      <c r="I120" s="26">
        <v>45818</v>
      </c>
      <c r="J120" s="23" t="s">
        <v>25</v>
      </c>
      <c r="K120" s="27" t="s">
        <v>26</v>
      </c>
      <c r="L120" s="25">
        <v>42858.36</v>
      </c>
      <c r="M120" s="23" t="s">
        <v>250</v>
      </c>
      <c r="N120" s="25">
        <v>42858.36</v>
      </c>
    </row>
    <row r="121" spans="1:14" x14ac:dyDescent="0.3">
      <c r="A121" s="28" t="s">
        <v>291</v>
      </c>
      <c r="B121" s="28" t="s">
        <v>292</v>
      </c>
      <c r="C121" s="28" t="s">
        <v>23</v>
      </c>
      <c r="D121" s="29">
        <v>378</v>
      </c>
      <c r="E121" s="29">
        <v>154</v>
      </c>
      <c r="F121" s="30">
        <v>246.85</v>
      </c>
      <c r="G121" s="28" t="s">
        <v>17</v>
      </c>
      <c r="H121" s="31">
        <v>45641</v>
      </c>
      <c r="I121" s="31">
        <v>45839</v>
      </c>
      <c r="J121" s="28" t="s">
        <v>18</v>
      </c>
      <c r="K121" s="27" t="s">
        <v>26</v>
      </c>
      <c r="L121" s="30">
        <v>93309.3</v>
      </c>
      <c r="M121" s="28" t="s">
        <v>250</v>
      </c>
      <c r="N121" s="30">
        <v>93309.3</v>
      </c>
    </row>
    <row r="122" spans="1:14" x14ac:dyDescent="0.3">
      <c r="A122" s="23" t="s">
        <v>293</v>
      </c>
      <c r="B122" s="23" t="s">
        <v>294</v>
      </c>
      <c r="C122" s="23" t="s">
        <v>23</v>
      </c>
      <c r="D122" s="24">
        <v>340</v>
      </c>
      <c r="E122" s="24">
        <v>175</v>
      </c>
      <c r="F122" s="25">
        <v>226.85</v>
      </c>
      <c r="G122" s="23" t="s">
        <v>24</v>
      </c>
      <c r="H122" s="26">
        <v>45647</v>
      </c>
      <c r="I122" s="26">
        <v>45798</v>
      </c>
      <c r="J122" s="23" t="s">
        <v>25</v>
      </c>
      <c r="K122" s="27" t="s">
        <v>26</v>
      </c>
      <c r="L122" s="25">
        <v>77129</v>
      </c>
      <c r="M122" s="23" t="s">
        <v>250</v>
      </c>
      <c r="N122" s="25">
        <v>77129</v>
      </c>
    </row>
    <row r="123" spans="1:14" x14ac:dyDescent="0.3">
      <c r="A123" s="28" t="s">
        <v>295</v>
      </c>
      <c r="B123" s="28" t="s">
        <v>296</v>
      </c>
      <c r="C123" s="28" t="s">
        <v>42</v>
      </c>
      <c r="D123" s="29">
        <v>217</v>
      </c>
      <c r="E123" s="29">
        <v>112</v>
      </c>
      <c r="F123" s="30">
        <v>156.57</v>
      </c>
      <c r="G123" s="28" t="s">
        <v>24</v>
      </c>
      <c r="H123" s="31">
        <v>45653</v>
      </c>
      <c r="I123" s="31">
        <v>45840</v>
      </c>
      <c r="J123" s="28" t="s">
        <v>31</v>
      </c>
      <c r="K123" s="27" t="s">
        <v>26</v>
      </c>
      <c r="L123" s="30">
        <v>33975.69</v>
      </c>
      <c r="M123" s="28" t="s">
        <v>250</v>
      </c>
      <c r="N123" s="30">
        <v>33975.69</v>
      </c>
    </row>
    <row r="124" spans="1:14" x14ac:dyDescent="0.3">
      <c r="A124" s="23" t="s">
        <v>297</v>
      </c>
      <c r="B124" s="23" t="s">
        <v>298</v>
      </c>
      <c r="C124" s="23" t="s">
        <v>16</v>
      </c>
      <c r="D124" s="24">
        <v>281</v>
      </c>
      <c r="E124" s="24">
        <v>138</v>
      </c>
      <c r="F124" s="25">
        <v>215.62</v>
      </c>
      <c r="G124" s="23" t="s">
        <v>24</v>
      </c>
      <c r="H124" s="26">
        <v>45659</v>
      </c>
      <c r="I124" s="26">
        <v>45856</v>
      </c>
      <c r="J124" s="23" t="s">
        <v>18</v>
      </c>
      <c r="K124" s="27" t="s">
        <v>26</v>
      </c>
      <c r="L124" s="25">
        <v>60589.22</v>
      </c>
      <c r="M124" s="23" t="s">
        <v>261</v>
      </c>
      <c r="N124" s="25">
        <v>60589.22</v>
      </c>
    </row>
    <row r="125" spans="1:14" x14ac:dyDescent="0.3">
      <c r="A125" s="28" t="s">
        <v>300</v>
      </c>
      <c r="B125" s="28" t="s">
        <v>301</v>
      </c>
      <c r="C125" s="28" t="s">
        <v>23</v>
      </c>
      <c r="D125" s="29">
        <v>369</v>
      </c>
      <c r="E125" s="29">
        <v>166</v>
      </c>
      <c r="F125" s="30">
        <v>139.1</v>
      </c>
      <c r="G125" s="28" t="s">
        <v>34</v>
      </c>
      <c r="H125" s="31">
        <v>45665</v>
      </c>
      <c r="I125" s="31">
        <v>45831</v>
      </c>
      <c r="J125" s="28" t="s">
        <v>31</v>
      </c>
      <c r="K125" s="27" t="s">
        <v>26</v>
      </c>
      <c r="L125" s="30">
        <v>51327.9</v>
      </c>
      <c r="M125" s="28" t="s">
        <v>261</v>
      </c>
      <c r="N125" s="30">
        <v>51327.9</v>
      </c>
    </row>
    <row r="126" spans="1:14" x14ac:dyDescent="0.3">
      <c r="A126" s="23" t="s">
        <v>302</v>
      </c>
      <c r="B126" s="23" t="s">
        <v>303</v>
      </c>
      <c r="C126" s="23" t="s">
        <v>16</v>
      </c>
      <c r="D126" s="24">
        <v>108</v>
      </c>
      <c r="E126" s="24">
        <v>130</v>
      </c>
      <c r="F126" s="25">
        <v>64.180000000000007</v>
      </c>
      <c r="G126" s="23" t="s">
        <v>34</v>
      </c>
      <c r="H126" s="26">
        <v>45671</v>
      </c>
      <c r="I126" s="26">
        <v>45855</v>
      </c>
      <c r="J126" s="23" t="s">
        <v>25</v>
      </c>
      <c r="K126" s="32" t="s">
        <v>19</v>
      </c>
      <c r="L126" s="25">
        <v>6931.44</v>
      </c>
      <c r="M126" s="23" t="s">
        <v>261</v>
      </c>
      <c r="N126" s="25">
        <v>6931.44</v>
      </c>
    </row>
    <row r="127" spans="1:14" x14ac:dyDescent="0.3">
      <c r="A127" s="28" t="s">
        <v>304</v>
      </c>
      <c r="B127" s="28" t="s">
        <v>305</v>
      </c>
      <c r="C127" s="28" t="s">
        <v>16</v>
      </c>
      <c r="D127" s="29">
        <v>120</v>
      </c>
      <c r="E127" s="29">
        <v>173</v>
      </c>
      <c r="F127" s="30">
        <v>141.87</v>
      </c>
      <c r="G127" s="28" t="s">
        <v>17</v>
      </c>
      <c r="H127" s="31">
        <v>45677</v>
      </c>
      <c r="I127" s="31">
        <v>45864</v>
      </c>
      <c r="J127" s="28" t="s">
        <v>18</v>
      </c>
      <c r="K127" s="32" t="s">
        <v>19</v>
      </c>
      <c r="L127" s="30">
        <v>17024.400000000001</v>
      </c>
      <c r="M127" s="28" t="s">
        <v>261</v>
      </c>
      <c r="N127" s="30">
        <v>17024.400000000001</v>
      </c>
    </row>
    <row r="128" spans="1:14" x14ac:dyDescent="0.3">
      <c r="A128" s="23" t="s">
        <v>306</v>
      </c>
      <c r="B128" s="23" t="s">
        <v>307</v>
      </c>
      <c r="C128" s="23" t="s">
        <v>23</v>
      </c>
      <c r="D128" s="24">
        <v>61</v>
      </c>
      <c r="E128" s="24">
        <v>99</v>
      </c>
      <c r="F128" s="25">
        <v>151.63999999999999</v>
      </c>
      <c r="G128" s="23" t="s">
        <v>24</v>
      </c>
      <c r="H128" s="26">
        <v>45683</v>
      </c>
      <c r="I128" s="26">
        <v>45856</v>
      </c>
      <c r="J128" s="23" t="s">
        <v>25</v>
      </c>
      <c r="K128" s="32" t="s">
        <v>19</v>
      </c>
      <c r="L128" s="25">
        <v>9250.0400000000009</v>
      </c>
      <c r="M128" s="23" t="s">
        <v>261</v>
      </c>
      <c r="N128" s="25">
        <v>9250.0400000000009</v>
      </c>
    </row>
    <row r="129" spans="1:14" x14ac:dyDescent="0.3">
      <c r="A129" s="28" t="s">
        <v>309</v>
      </c>
      <c r="B129" s="28" t="s">
        <v>310</v>
      </c>
      <c r="C129" s="28" t="s">
        <v>23</v>
      </c>
      <c r="D129" s="29">
        <v>372</v>
      </c>
      <c r="E129" s="29">
        <v>186</v>
      </c>
      <c r="F129" s="30">
        <v>67.66</v>
      </c>
      <c r="G129" s="28" t="s">
        <v>17</v>
      </c>
      <c r="H129" s="31">
        <v>45689</v>
      </c>
      <c r="I129" s="31">
        <v>45841</v>
      </c>
      <c r="J129" s="28" t="s">
        <v>18</v>
      </c>
      <c r="K129" s="27" t="s">
        <v>26</v>
      </c>
      <c r="L129" s="30">
        <v>25169.52</v>
      </c>
      <c r="M129" s="28" t="s">
        <v>270</v>
      </c>
      <c r="N129" s="30">
        <v>25169.52</v>
      </c>
    </row>
    <row r="130" spans="1:14" x14ac:dyDescent="0.3">
      <c r="A130" s="23" t="s">
        <v>311</v>
      </c>
      <c r="B130" s="23" t="s">
        <v>312</v>
      </c>
      <c r="C130" s="23" t="s">
        <v>42</v>
      </c>
      <c r="D130" s="24">
        <v>367</v>
      </c>
      <c r="E130" s="24">
        <v>82</v>
      </c>
      <c r="F130" s="25">
        <v>320.75</v>
      </c>
      <c r="G130" s="23" t="s">
        <v>34</v>
      </c>
      <c r="H130" s="26">
        <v>45695</v>
      </c>
      <c r="I130" s="26">
        <v>45893</v>
      </c>
      <c r="J130" s="23" t="s">
        <v>25</v>
      </c>
      <c r="K130" s="27" t="s">
        <v>26</v>
      </c>
      <c r="L130" s="25">
        <v>117715.25</v>
      </c>
      <c r="M130" s="23" t="s">
        <v>270</v>
      </c>
      <c r="N130" s="25">
        <v>117715.25</v>
      </c>
    </row>
    <row r="131" spans="1:14" x14ac:dyDescent="0.3">
      <c r="A131" s="28" t="s">
        <v>313</v>
      </c>
      <c r="B131" s="28" t="s">
        <v>314</v>
      </c>
      <c r="C131" s="28" t="s">
        <v>42</v>
      </c>
      <c r="D131" s="29">
        <v>303</v>
      </c>
      <c r="E131" s="29">
        <v>122</v>
      </c>
      <c r="F131" s="30">
        <v>237.35</v>
      </c>
      <c r="G131" s="28" t="s">
        <v>34</v>
      </c>
      <c r="H131" s="31">
        <v>45701</v>
      </c>
      <c r="I131" s="31">
        <v>45879</v>
      </c>
      <c r="J131" s="28" t="s">
        <v>25</v>
      </c>
      <c r="K131" s="27" t="s">
        <v>26</v>
      </c>
      <c r="L131" s="30">
        <v>71917.05</v>
      </c>
      <c r="M131" s="28" t="s">
        <v>270</v>
      </c>
      <c r="N131" s="30">
        <v>71917.05</v>
      </c>
    </row>
    <row r="132" spans="1:14" x14ac:dyDescent="0.3">
      <c r="A132" s="23" t="s">
        <v>315</v>
      </c>
      <c r="B132" s="23" t="s">
        <v>316</v>
      </c>
      <c r="C132" s="23" t="s">
        <v>42</v>
      </c>
      <c r="D132" s="24">
        <v>139</v>
      </c>
      <c r="E132" s="24">
        <v>172</v>
      </c>
      <c r="F132" s="25">
        <v>61.47</v>
      </c>
      <c r="G132" s="23" t="s">
        <v>24</v>
      </c>
      <c r="H132" s="26">
        <v>45707</v>
      </c>
      <c r="I132" s="26">
        <v>45861</v>
      </c>
      <c r="J132" s="23" t="s">
        <v>25</v>
      </c>
      <c r="K132" s="32" t="s">
        <v>19</v>
      </c>
      <c r="L132" s="25">
        <v>8544.33</v>
      </c>
      <c r="M132" s="23" t="s">
        <v>270</v>
      </c>
      <c r="N132" s="25">
        <v>8544.33</v>
      </c>
    </row>
    <row r="133" spans="1:14" x14ac:dyDescent="0.3">
      <c r="A133" s="28" t="s">
        <v>317</v>
      </c>
      <c r="B133" s="28" t="s">
        <v>318</v>
      </c>
      <c r="C133" s="28" t="s">
        <v>16</v>
      </c>
      <c r="D133" s="29">
        <v>305</v>
      </c>
      <c r="E133" s="29">
        <v>63</v>
      </c>
      <c r="F133" s="30">
        <v>80.099999999999994</v>
      </c>
      <c r="G133" s="28" t="s">
        <v>24</v>
      </c>
      <c r="H133" s="31">
        <v>45713</v>
      </c>
      <c r="I133" s="31">
        <v>45914</v>
      </c>
      <c r="J133" s="28" t="s">
        <v>25</v>
      </c>
      <c r="K133" s="27" t="s">
        <v>26</v>
      </c>
      <c r="L133" s="30">
        <v>24430.5</v>
      </c>
      <c r="M133" s="28" t="s">
        <v>270</v>
      </c>
      <c r="N133" s="30">
        <v>24430.5</v>
      </c>
    </row>
    <row r="134" spans="1:14" x14ac:dyDescent="0.3">
      <c r="A134" s="23" t="s">
        <v>320</v>
      </c>
      <c r="B134" s="23" t="s">
        <v>321</v>
      </c>
      <c r="C134" s="23" t="s">
        <v>16</v>
      </c>
      <c r="D134" s="24">
        <v>137</v>
      </c>
      <c r="E134" s="24">
        <v>80</v>
      </c>
      <c r="F134" s="25">
        <v>281.25</v>
      </c>
      <c r="G134" s="23" t="s">
        <v>17</v>
      </c>
      <c r="H134" s="26">
        <v>45719</v>
      </c>
      <c r="I134" s="26">
        <v>45895</v>
      </c>
      <c r="J134" s="23" t="s">
        <v>31</v>
      </c>
      <c r="K134" s="27" t="s">
        <v>26</v>
      </c>
      <c r="L134" s="25">
        <v>38531.25</v>
      </c>
      <c r="M134" s="23" t="s">
        <v>279</v>
      </c>
      <c r="N134" s="25">
        <v>38531.25</v>
      </c>
    </row>
    <row r="135" spans="1:14" x14ac:dyDescent="0.3">
      <c r="A135" s="28" t="s">
        <v>322</v>
      </c>
      <c r="B135" s="28" t="s">
        <v>323</v>
      </c>
      <c r="C135" s="28" t="s">
        <v>42</v>
      </c>
      <c r="D135" s="29">
        <v>125</v>
      </c>
      <c r="E135" s="29">
        <v>183</v>
      </c>
      <c r="F135" s="30">
        <v>193.29</v>
      </c>
      <c r="G135" s="28" t="s">
        <v>24</v>
      </c>
      <c r="H135" s="31">
        <v>45725</v>
      </c>
      <c r="I135" s="31">
        <v>45933</v>
      </c>
      <c r="J135" s="28" t="s">
        <v>31</v>
      </c>
      <c r="K135" s="32" t="s">
        <v>19</v>
      </c>
      <c r="L135" s="30">
        <v>24161.25</v>
      </c>
      <c r="M135" s="28" t="s">
        <v>279</v>
      </c>
      <c r="N135" s="30">
        <v>24161.25</v>
      </c>
    </row>
    <row r="136" spans="1:14" x14ac:dyDescent="0.3">
      <c r="A136" s="23" t="s">
        <v>324</v>
      </c>
      <c r="B136" s="23" t="s">
        <v>325</v>
      </c>
      <c r="C136" s="23" t="s">
        <v>16</v>
      </c>
      <c r="D136" s="24">
        <v>229</v>
      </c>
      <c r="E136" s="24">
        <v>128</v>
      </c>
      <c r="F136" s="25">
        <v>286.47000000000003</v>
      </c>
      <c r="G136" s="23" t="s">
        <v>17</v>
      </c>
      <c r="H136" s="26">
        <v>45731</v>
      </c>
      <c r="I136" s="26">
        <v>45884</v>
      </c>
      <c r="J136" s="23" t="s">
        <v>25</v>
      </c>
      <c r="K136" s="27" t="s">
        <v>26</v>
      </c>
      <c r="L136" s="25">
        <v>65601.63</v>
      </c>
      <c r="M136" s="23" t="s">
        <v>279</v>
      </c>
      <c r="N136" s="25">
        <v>65601.63</v>
      </c>
    </row>
    <row r="137" spans="1:14" x14ac:dyDescent="0.3">
      <c r="A137" s="28" t="s">
        <v>326</v>
      </c>
      <c r="B137" s="28" t="s">
        <v>327</v>
      </c>
      <c r="C137" s="28" t="s">
        <v>16</v>
      </c>
      <c r="D137" s="29">
        <v>495</v>
      </c>
      <c r="E137" s="29">
        <v>103</v>
      </c>
      <c r="F137" s="30">
        <v>314.63</v>
      </c>
      <c r="G137" s="28" t="s">
        <v>34</v>
      </c>
      <c r="H137" s="31">
        <v>45737</v>
      </c>
      <c r="I137" s="31">
        <v>45903</v>
      </c>
      <c r="J137" s="28" t="s">
        <v>25</v>
      </c>
      <c r="K137" s="27" t="s">
        <v>26</v>
      </c>
      <c r="L137" s="30">
        <v>155741.85</v>
      </c>
      <c r="M137" s="28" t="s">
        <v>279</v>
      </c>
      <c r="N137" s="30">
        <v>155741.85</v>
      </c>
    </row>
    <row r="138" spans="1:14" x14ac:dyDescent="0.3">
      <c r="A138" s="23" t="s">
        <v>329</v>
      </c>
      <c r="B138" s="23" t="s">
        <v>330</v>
      </c>
      <c r="C138" s="23" t="s">
        <v>23</v>
      </c>
      <c r="D138" s="24">
        <v>132</v>
      </c>
      <c r="E138" s="24">
        <v>94</v>
      </c>
      <c r="F138" s="25">
        <v>278.24</v>
      </c>
      <c r="G138" s="23" t="s">
        <v>24</v>
      </c>
      <c r="H138" s="26">
        <v>45743</v>
      </c>
      <c r="I138" s="26">
        <v>45903</v>
      </c>
      <c r="J138" s="23" t="s">
        <v>18</v>
      </c>
      <c r="K138" s="27" t="s">
        <v>26</v>
      </c>
      <c r="L138" s="25">
        <v>36727.68</v>
      </c>
      <c r="M138" s="23" t="s">
        <v>279</v>
      </c>
      <c r="N138" s="25">
        <v>36727.68</v>
      </c>
    </row>
    <row r="139" spans="1:14" x14ac:dyDescent="0.3">
      <c r="A139" s="28" t="s">
        <v>331</v>
      </c>
      <c r="B139" s="28" t="s">
        <v>332</v>
      </c>
      <c r="C139" s="28" t="s">
        <v>42</v>
      </c>
      <c r="D139" s="29">
        <v>362</v>
      </c>
      <c r="E139" s="29">
        <v>170</v>
      </c>
      <c r="F139" s="30">
        <v>149.16999999999999</v>
      </c>
      <c r="G139" s="28" t="s">
        <v>17</v>
      </c>
      <c r="H139" s="31">
        <v>45749</v>
      </c>
      <c r="I139" s="31">
        <v>45913</v>
      </c>
      <c r="J139" s="28" t="s">
        <v>18</v>
      </c>
      <c r="K139" s="27" t="s">
        <v>26</v>
      </c>
      <c r="L139" s="30">
        <v>53999.54</v>
      </c>
      <c r="M139" s="28" t="s">
        <v>290</v>
      </c>
      <c r="N139" s="30">
        <v>53999.54</v>
      </c>
    </row>
    <row r="140" spans="1:14" x14ac:dyDescent="0.3">
      <c r="A140" s="23" t="s">
        <v>333</v>
      </c>
      <c r="B140" s="23" t="s">
        <v>334</v>
      </c>
      <c r="C140" s="23" t="s">
        <v>42</v>
      </c>
      <c r="D140" s="24">
        <v>369</v>
      </c>
      <c r="E140" s="24">
        <v>166</v>
      </c>
      <c r="F140" s="25">
        <v>40.229999999999997</v>
      </c>
      <c r="G140" s="23" t="s">
        <v>17</v>
      </c>
      <c r="H140" s="26">
        <v>45755</v>
      </c>
      <c r="I140" s="26">
        <v>45919</v>
      </c>
      <c r="J140" s="23" t="s">
        <v>31</v>
      </c>
      <c r="K140" s="27" t="s">
        <v>26</v>
      </c>
      <c r="L140" s="25">
        <v>14844.87</v>
      </c>
      <c r="M140" s="23" t="s">
        <v>290</v>
      </c>
      <c r="N140" s="25">
        <v>14844.87</v>
      </c>
    </row>
    <row r="141" spans="1:14" x14ac:dyDescent="0.3">
      <c r="A141" s="28" t="s">
        <v>335</v>
      </c>
      <c r="B141" s="28" t="s">
        <v>336</v>
      </c>
      <c r="C141" s="28" t="s">
        <v>23</v>
      </c>
      <c r="D141" s="29">
        <v>348</v>
      </c>
      <c r="E141" s="29">
        <v>100</v>
      </c>
      <c r="F141" s="30">
        <v>215.44</v>
      </c>
      <c r="G141" s="28" t="s">
        <v>17</v>
      </c>
      <c r="H141" s="31">
        <v>45761</v>
      </c>
      <c r="I141" s="31">
        <v>45945</v>
      </c>
      <c r="J141" s="28" t="s">
        <v>25</v>
      </c>
      <c r="K141" s="27" t="s">
        <v>26</v>
      </c>
      <c r="L141" s="30">
        <v>74973.119999999995</v>
      </c>
      <c r="M141" s="28" t="s">
        <v>290</v>
      </c>
      <c r="N141" s="30">
        <v>74973.119999999995</v>
      </c>
    </row>
    <row r="142" spans="1:14" x14ac:dyDescent="0.3">
      <c r="A142" s="23" t="s">
        <v>337</v>
      </c>
      <c r="B142" s="23" t="s">
        <v>338</v>
      </c>
      <c r="C142" s="23" t="s">
        <v>23</v>
      </c>
      <c r="D142" s="24">
        <v>475</v>
      </c>
      <c r="E142" s="24">
        <v>118</v>
      </c>
      <c r="F142" s="25">
        <v>414.18</v>
      </c>
      <c r="G142" s="23" t="s">
        <v>34</v>
      </c>
      <c r="H142" s="26">
        <v>45767</v>
      </c>
      <c r="I142" s="26">
        <v>45921</v>
      </c>
      <c r="J142" s="23" t="s">
        <v>18</v>
      </c>
      <c r="K142" s="27" t="s">
        <v>26</v>
      </c>
      <c r="L142" s="25">
        <v>196735.5</v>
      </c>
      <c r="M142" s="23" t="s">
        <v>290</v>
      </c>
      <c r="N142" s="25">
        <v>196735.5</v>
      </c>
    </row>
    <row r="143" spans="1:14" x14ac:dyDescent="0.3">
      <c r="A143" s="28" t="s">
        <v>340</v>
      </c>
      <c r="B143" s="28" t="s">
        <v>341</v>
      </c>
      <c r="C143" s="28" t="s">
        <v>23</v>
      </c>
      <c r="D143" s="29">
        <v>314</v>
      </c>
      <c r="E143" s="29">
        <v>195</v>
      </c>
      <c r="F143" s="30">
        <v>460.99</v>
      </c>
      <c r="G143" s="28" t="s">
        <v>24</v>
      </c>
      <c r="H143" s="31">
        <v>45773</v>
      </c>
      <c r="I143" s="31">
        <v>45951</v>
      </c>
      <c r="J143" s="28" t="s">
        <v>31</v>
      </c>
      <c r="K143" s="27" t="s">
        <v>26</v>
      </c>
      <c r="L143" s="30">
        <v>144750.85999999999</v>
      </c>
      <c r="M143" s="28" t="s">
        <v>290</v>
      </c>
      <c r="N143" s="30">
        <v>144750.85999999999</v>
      </c>
    </row>
    <row r="144" spans="1:14" x14ac:dyDescent="0.3">
      <c r="A144" s="23" t="s">
        <v>342</v>
      </c>
      <c r="B144" s="23" t="s">
        <v>343</v>
      </c>
      <c r="C144" s="23" t="s">
        <v>16</v>
      </c>
      <c r="D144" s="24">
        <v>165</v>
      </c>
      <c r="E144" s="24">
        <v>153</v>
      </c>
      <c r="F144" s="25">
        <v>471.62</v>
      </c>
      <c r="G144" s="23" t="s">
        <v>24</v>
      </c>
      <c r="H144" s="26">
        <v>45779</v>
      </c>
      <c r="I144" s="26">
        <v>45961</v>
      </c>
      <c r="J144" s="23" t="s">
        <v>18</v>
      </c>
      <c r="K144" s="27" t="s">
        <v>26</v>
      </c>
      <c r="L144" s="25">
        <v>77817.3</v>
      </c>
      <c r="M144" s="23" t="s">
        <v>299</v>
      </c>
      <c r="N144" s="25">
        <v>77817.3</v>
      </c>
    </row>
    <row r="145" spans="1:14" x14ac:dyDescent="0.3">
      <c r="A145" s="28" t="s">
        <v>344</v>
      </c>
      <c r="B145" s="28" t="s">
        <v>345</v>
      </c>
      <c r="C145" s="28" t="s">
        <v>42</v>
      </c>
      <c r="D145" s="29">
        <v>51</v>
      </c>
      <c r="E145" s="29">
        <v>60</v>
      </c>
      <c r="F145" s="30">
        <v>445.26</v>
      </c>
      <c r="G145" s="28" t="s">
        <v>17</v>
      </c>
      <c r="H145" s="31">
        <v>45785</v>
      </c>
      <c r="I145" s="31">
        <v>45982</v>
      </c>
      <c r="J145" s="28" t="s">
        <v>18</v>
      </c>
      <c r="K145" s="32" t="s">
        <v>19</v>
      </c>
      <c r="L145" s="30">
        <v>22708.26</v>
      </c>
      <c r="M145" s="28" t="s">
        <v>299</v>
      </c>
      <c r="N145" s="30">
        <v>22708.26</v>
      </c>
    </row>
    <row r="146" spans="1:14" x14ac:dyDescent="0.3">
      <c r="A146" s="23" t="s">
        <v>346</v>
      </c>
      <c r="B146" s="23" t="s">
        <v>347</v>
      </c>
      <c r="C146" s="23" t="s">
        <v>16</v>
      </c>
      <c r="D146" s="24">
        <v>23</v>
      </c>
      <c r="E146" s="24">
        <v>73</v>
      </c>
      <c r="F146" s="25">
        <v>118.32</v>
      </c>
      <c r="G146" s="23" t="s">
        <v>17</v>
      </c>
      <c r="H146" s="26">
        <v>45791</v>
      </c>
      <c r="I146" s="26">
        <v>45984</v>
      </c>
      <c r="J146" s="23" t="s">
        <v>25</v>
      </c>
      <c r="K146" s="32" t="s">
        <v>19</v>
      </c>
      <c r="L146" s="25">
        <v>2721.36</v>
      </c>
      <c r="M146" s="23" t="s">
        <v>299</v>
      </c>
      <c r="N146" s="25">
        <v>2721.36</v>
      </c>
    </row>
    <row r="147" spans="1:14" x14ac:dyDescent="0.3">
      <c r="A147" s="28" t="s">
        <v>349</v>
      </c>
      <c r="B147" s="28" t="s">
        <v>350</v>
      </c>
      <c r="C147" s="28" t="s">
        <v>23</v>
      </c>
      <c r="D147" s="29">
        <v>401</v>
      </c>
      <c r="E147" s="29">
        <v>118</v>
      </c>
      <c r="F147" s="30">
        <v>290.24</v>
      </c>
      <c r="G147" s="28" t="s">
        <v>24</v>
      </c>
      <c r="H147" s="31">
        <v>45797</v>
      </c>
      <c r="I147" s="31">
        <v>45995</v>
      </c>
      <c r="J147" s="28" t="s">
        <v>31</v>
      </c>
      <c r="K147" s="27" t="s">
        <v>26</v>
      </c>
      <c r="L147" s="30">
        <v>116386.24000000001</v>
      </c>
      <c r="M147" s="28" t="s">
        <v>299</v>
      </c>
      <c r="N147" s="30">
        <v>116386.24000000001</v>
      </c>
    </row>
    <row r="148" spans="1:14" x14ac:dyDescent="0.3">
      <c r="A148" s="23" t="s">
        <v>351</v>
      </c>
      <c r="B148" s="23" t="s">
        <v>352</v>
      </c>
      <c r="C148" s="23" t="s">
        <v>16</v>
      </c>
      <c r="D148" s="24">
        <v>343</v>
      </c>
      <c r="E148" s="24">
        <v>163</v>
      </c>
      <c r="F148" s="25">
        <v>458.46</v>
      </c>
      <c r="G148" s="23" t="s">
        <v>24</v>
      </c>
      <c r="H148" s="26">
        <v>45803</v>
      </c>
      <c r="I148" s="26">
        <v>45964</v>
      </c>
      <c r="J148" s="23" t="s">
        <v>31</v>
      </c>
      <c r="K148" s="27" t="s">
        <v>26</v>
      </c>
      <c r="L148" s="25">
        <v>157251.78</v>
      </c>
      <c r="M148" s="23" t="s">
        <v>299</v>
      </c>
      <c r="N148" s="25">
        <v>157251.78</v>
      </c>
    </row>
    <row r="149" spans="1:14" x14ac:dyDescent="0.3">
      <c r="A149" s="28" t="s">
        <v>353</v>
      </c>
      <c r="B149" s="28" t="s">
        <v>354</v>
      </c>
      <c r="C149" s="28" t="s">
        <v>42</v>
      </c>
      <c r="D149" s="29">
        <v>426</v>
      </c>
      <c r="E149" s="29">
        <v>175</v>
      </c>
      <c r="F149" s="30">
        <v>484.68</v>
      </c>
      <c r="G149" s="28" t="s">
        <v>24</v>
      </c>
      <c r="H149" s="31">
        <v>45809</v>
      </c>
      <c r="I149" s="31">
        <v>45989</v>
      </c>
      <c r="J149" s="28" t="s">
        <v>18</v>
      </c>
      <c r="K149" s="27" t="s">
        <v>26</v>
      </c>
      <c r="L149" s="30">
        <v>206473.68</v>
      </c>
      <c r="M149" s="28" t="s">
        <v>308</v>
      </c>
      <c r="N149" s="30">
        <v>206473.68</v>
      </c>
    </row>
    <row r="150" spans="1:14" x14ac:dyDescent="0.3">
      <c r="A150" s="23" t="s">
        <v>355</v>
      </c>
      <c r="B150" s="23" t="s">
        <v>356</v>
      </c>
      <c r="C150" s="23" t="s">
        <v>42</v>
      </c>
      <c r="D150" s="24">
        <v>174</v>
      </c>
      <c r="E150" s="24">
        <v>76</v>
      </c>
      <c r="F150" s="25">
        <v>429.58</v>
      </c>
      <c r="G150" s="23" t="s">
        <v>17</v>
      </c>
      <c r="H150" s="26">
        <v>45815</v>
      </c>
      <c r="I150" s="26">
        <v>45986</v>
      </c>
      <c r="J150" s="23" t="s">
        <v>18</v>
      </c>
      <c r="K150" s="27" t="s">
        <v>26</v>
      </c>
      <c r="L150" s="25">
        <v>74746.92</v>
      </c>
      <c r="M150" s="23" t="s">
        <v>308</v>
      </c>
      <c r="N150" s="25">
        <v>74746.92</v>
      </c>
    </row>
    <row r="151" spans="1:14" x14ac:dyDescent="0.3">
      <c r="A151" s="28" t="s">
        <v>358</v>
      </c>
      <c r="B151" s="28" t="s">
        <v>359</v>
      </c>
      <c r="C151" s="28" t="s">
        <v>23</v>
      </c>
      <c r="D151" s="29">
        <v>157</v>
      </c>
      <c r="E151" s="29">
        <v>152</v>
      </c>
      <c r="F151" s="30">
        <v>407.72</v>
      </c>
      <c r="G151" s="28" t="s">
        <v>24</v>
      </c>
      <c r="H151" s="31">
        <v>45821</v>
      </c>
      <c r="I151" s="31">
        <v>46006</v>
      </c>
      <c r="J151" s="28" t="s">
        <v>25</v>
      </c>
      <c r="K151" s="27" t="s">
        <v>26</v>
      </c>
      <c r="L151" s="30">
        <v>64012.04</v>
      </c>
      <c r="M151" s="28" t="s">
        <v>308</v>
      </c>
      <c r="N151" s="30">
        <v>64012.04</v>
      </c>
    </row>
    <row r="152" spans="1:14" x14ac:dyDescent="0.3">
      <c r="A152" s="23" t="s">
        <v>360</v>
      </c>
      <c r="B152" s="23" t="s">
        <v>361</v>
      </c>
      <c r="C152" s="23" t="s">
        <v>42</v>
      </c>
      <c r="D152" s="24">
        <v>171</v>
      </c>
      <c r="E152" s="24">
        <v>114</v>
      </c>
      <c r="F152" s="25">
        <v>165.02</v>
      </c>
      <c r="G152" s="23" t="s">
        <v>17</v>
      </c>
      <c r="H152" s="26">
        <v>45827</v>
      </c>
      <c r="I152" s="26">
        <v>46026</v>
      </c>
      <c r="J152" s="23" t="s">
        <v>25</v>
      </c>
      <c r="K152" s="27" t="s">
        <v>26</v>
      </c>
      <c r="L152" s="25">
        <v>28218.42</v>
      </c>
      <c r="M152" s="23" t="s">
        <v>308</v>
      </c>
      <c r="N152" s="25">
        <v>28218.42</v>
      </c>
    </row>
    <row r="153" spans="1:14" x14ac:dyDescent="0.3">
      <c r="A153" s="28" t="s">
        <v>362</v>
      </c>
      <c r="B153" s="28" t="s">
        <v>363</v>
      </c>
      <c r="C153" s="28" t="s">
        <v>23</v>
      </c>
      <c r="D153" s="29">
        <v>346</v>
      </c>
      <c r="E153" s="29">
        <v>188</v>
      </c>
      <c r="F153" s="30">
        <v>233.68</v>
      </c>
      <c r="G153" s="28" t="s">
        <v>17</v>
      </c>
      <c r="H153" s="31">
        <v>45833</v>
      </c>
      <c r="I153" s="31">
        <v>45986</v>
      </c>
      <c r="J153" s="28" t="s">
        <v>18</v>
      </c>
      <c r="K153" s="27" t="s">
        <v>26</v>
      </c>
      <c r="L153" s="30">
        <v>80853.279999999999</v>
      </c>
      <c r="M153" s="28" t="s">
        <v>308</v>
      </c>
      <c r="N153" s="30">
        <v>80853.279999999999</v>
      </c>
    </row>
    <row r="154" spans="1:14" x14ac:dyDescent="0.3">
      <c r="A154" s="23" t="s">
        <v>364</v>
      </c>
      <c r="B154" s="23" t="s">
        <v>365</v>
      </c>
      <c r="C154" s="23" t="s">
        <v>23</v>
      </c>
      <c r="D154" s="24">
        <v>328</v>
      </c>
      <c r="E154" s="24">
        <v>177</v>
      </c>
      <c r="F154" s="25">
        <v>314.58</v>
      </c>
      <c r="G154" s="23" t="s">
        <v>34</v>
      </c>
      <c r="H154" s="26">
        <v>45839</v>
      </c>
      <c r="I154" s="26">
        <v>46037</v>
      </c>
      <c r="J154" s="23" t="s">
        <v>18</v>
      </c>
      <c r="K154" s="27" t="s">
        <v>26</v>
      </c>
      <c r="L154" s="25">
        <v>103182.24</v>
      </c>
      <c r="M154" s="23" t="s">
        <v>319</v>
      </c>
      <c r="N154" s="25">
        <v>103182.24</v>
      </c>
    </row>
    <row r="155" spans="1:14" x14ac:dyDescent="0.3">
      <c r="A155" s="28" t="s">
        <v>366</v>
      </c>
      <c r="B155" s="28" t="s">
        <v>367</v>
      </c>
      <c r="C155" s="28" t="s">
        <v>16</v>
      </c>
      <c r="D155" s="29">
        <v>291</v>
      </c>
      <c r="E155" s="29">
        <v>83</v>
      </c>
      <c r="F155" s="30">
        <v>464.2</v>
      </c>
      <c r="G155" s="28" t="s">
        <v>24</v>
      </c>
      <c r="H155" s="31">
        <v>45845</v>
      </c>
      <c r="I155" s="31">
        <v>46023</v>
      </c>
      <c r="J155" s="28" t="s">
        <v>25</v>
      </c>
      <c r="K155" s="27" t="s">
        <v>26</v>
      </c>
      <c r="L155" s="30">
        <v>135082.20000000001</v>
      </c>
      <c r="M155" s="28" t="s">
        <v>319</v>
      </c>
      <c r="N155" s="30">
        <v>135082.20000000001</v>
      </c>
    </row>
    <row r="156" spans="1:14" x14ac:dyDescent="0.3">
      <c r="A156" s="23" t="s">
        <v>369</v>
      </c>
      <c r="B156" s="23" t="s">
        <v>370</v>
      </c>
      <c r="C156" s="23" t="s">
        <v>16</v>
      </c>
      <c r="D156" s="24">
        <v>24</v>
      </c>
      <c r="E156" s="24">
        <v>111</v>
      </c>
      <c r="F156" s="25">
        <v>356.34</v>
      </c>
      <c r="G156" s="23" t="s">
        <v>34</v>
      </c>
      <c r="H156" s="26">
        <v>45851</v>
      </c>
      <c r="I156" s="26">
        <v>46020</v>
      </c>
      <c r="J156" s="23" t="s">
        <v>31</v>
      </c>
      <c r="K156" s="32" t="s">
        <v>19</v>
      </c>
      <c r="L156" s="25">
        <v>8552.16</v>
      </c>
      <c r="M156" s="23" t="s">
        <v>319</v>
      </c>
      <c r="N156" s="25">
        <v>8552.16</v>
      </c>
    </row>
    <row r="157" spans="1:14" x14ac:dyDescent="0.3">
      <c r="A157" s="28" t="s">
        <v>371</v>
      </c>
      <c r="B157" s="28" t="s">
        <v>372</v>
      </c>
      <c r="C157" s="28" t="s">
        <v>23</v>
      </c>
      <c r="D157" s="29">
        <v>218</v>
      </c>
      <c r="E157" s="29">
        <v>73</v>
      </c>
      <c r="F157" s="30">
        <v>116.23</v>
      </c>
      <c r="G157" s="28" t="s">
        <v>24</v>
      </c>
      <c r="H157" s="31">
        <v>45857</v>
      </c>
      <c r="I157" s="31">
        <v>46060</v>
      </c>
      <c r="J157" s="28" t="s">
        <v>25</v>
      </c>
      <c r="K157" s="27" t="s">
        <v>26</v>
      </c>
      <c r="L157" s="30">
        <v>25338.14</v>
      </c>
      <c r="M157" s="28" t="s">
        <v>319</v>
      </c>
      <c r="N157" s="30">
        <v>25338.14</v>
      </c>
    </row>
    <row r="158" spans="1:14" x14ac:dyDescent="0.3">
      <c r="A158" s="23" t="s">
        <v>373</v>
      </c>
      <c r="B158" s="23" t="s">
        <v>374</v>
      </c>
      <c r="C158" s="23" t="s">
        <v>42</v>
      </c>
      <c r="D158" s="24">
        <v>341</v>
      </c>
      <c r="E158" s="24">
        <v>89</v>
      </c>
      <c r="F158" s="25">
        <v>251.7</v>
      </c>
      <c r="G158" s="23" t="s">
        <v>17</v>
      </c>
      <c r="H158" s="26">
        <v>45863</v>
      </c>
      <c r="I158" s="26">
        <v>46058</v>
      </c>
      <c r="J158" s="23" t="s">
        <v>31</v>
      </c>
      <c r="K158" s="27" t="s">
        <v>26</v>
      </c>
      <c r="L158" s="25">
        <v>85829.7</v>
      </c>
      <c r="M158" s="23" t="s">
        <v>319</v>
      </c>
      <c r="N158" s="25">
        <v>85829.7</v>
      </c>
    </row>
    <row r="159" spans="1:14" x14ac:dyDescent="0.3">
      <c r="A159" s="28" t="s">
        <v>375</v>
      </c>
      <c r="B159" s="28" t="s">
        <v>376</v>
      </c>
      <c r="C159" s="28" t="s">
        <v>23</v>
      </c>
      <c r="D159" s="29">
        <v>149</v>
      </c>
      <c r="E159" s="29">
        <v>156</v>
      </c>
      <c r="F159" s="30">
        <v>418.19</v>
      </c>
      <c r="G159" s="28" t="s">
        <v>24</v>
      </c>
      <c r="H159" s="31">
        <v>45869</v>
      </c>
      <c r="I159" s="31">
        <v>46049</v>
      </c>
      <c r="J159" s="28" t="s">
        <v>31</v>
      </c>
      <c r="K159" s="32" t="s">
        <v>19</v>
      </c>
      <c r="L159" s="30">
        <v>62310.31</v>
      </c>
      <c r="M159" s="28" t="s">
        <v>319</v>
      </c>
      <c r="N159" s="30">
        <v>62310.31</v>
      </c>
    </row>
    <row r="160" spans="1:14" x14ac:dyDescent="0.3">
      <c r="A160" s="23" t="s">
        <v>378</v>
      </c>
      <c r="B160" s="23" t="s">
        <v>379</v>
      </c>
      <c r="C160" s="23" t="s">
        <v>16</v>
      </c>
      <c r="D160" s="24">
        <v>84</v>
      </c>
      <c r="E160" s="24">
        <v>148</v>
      </c>
      <c r="F160" s="25">
        <v>99.35</v>
      </c>
      <c r="G160" s="23" t="s">
        <v>17</v>
      </c>
      <c r="H160" s="26">
        <v>45875</v>
      </c>
      <c r="I160" s="26">
        <v>46063</v>
      </c>
      <c r="J160" s="23" t="s">
        <v>25</v>
      </c>
      <c r="K160" s="32" t="s">
        <v>19</v>
      </c>
      <c r="L160" s="25">
        <v>8345.4</v>
      </c>
      <c r="M160" s="23" t="s">
        <v>328</v>
      </c>
      <c r="N160" s="25">
        <v>8345.4</v>
      </c>
    </row>
    <row r="161" spans="1:14" x14ac:dyDescent="0.3">
      <c r="A161" s="28" t="s">
        <v>380</v>
      </c>
      <c r="B161" s="28" t="s">
        <v>381</v>
      </c>
      <c r="C161" s="28" t="s">
        <v>42</v>
      </c>
      <c r="D161" s="29">
        <v>452</v>
      </c>
      <c r="E161" s="29">
        <v>67</v>
      </c>
      <c r="F161" s="30">
        <v>141.74</v>
      </c>
      <c r="G161" s="28" t="s">
        <v>24</v>
      </c>
      <c r="H161" s="31">
        <v>45881</v>
      </c>
      <c r="I161" s="31">
        <v>46081</v>
      </c>
      <c r="J161" s="28" t="s">
        <v>31</v>
      </c>
      <c r="K161" s="27" t="s">
        <v>26</v>
      </c>
      <c r="L161" s="30">
        <v>64066.48</v>
      </c>
      <c r="M161" s="28" t="s">
        <v>328</v>
      </c>
      <c r="N161" s="30">
        <v>64066.48</v>
      </c>
    </row>
    <row r="162" spans="1:14" x14ac:dyDescent="0.3">
      <c r="A162" s="23" t="s">
        <v>382</v>
      </c>
      <c r="B162" s="23" t="s">
        <v>383</v>
      </c>
      <c r="C162" s="23" t="s">
        <v>16</v>
      </c>
      <c r="D162" s="24">
        <v>146</v>
      </c>
      <c r="E162" s="24">
        <v>50</v>
      </c>
      <c r="F162" s="25">
        <v>145.01</v>
      </c>
      <c r="G162" s="23" t="s">
        <v>17</v>
      </c>
      <c r="H162" s="26">
        <v>45887</v>
      </c>
      <c r="I162" s="26">
        <v>46056</v>
      </c>
      <c r="J162" s="23" t="s">
        <v>31</v>
      </c>
      <c r="K162" s="27" t="s">
        <v>26</v>
      </c>
      <c r="L162" s="25">
        <v>21171.46</v>
      </c>
      <c r="M162" s="23" t="s">
        <v>328</v>
      </c>
      <c r="N162" s="25">
        <v>21171.46</v>
      </c>
    </row>
    <row r="163" spans="1:14" x14ac:dyDescent="0.3">
      <c r="A163" s="28" t="s">
        <v>384</v>
      </c>
      <c r="B163" s="28" t="s">
        <v>385</v>
      </c>
      <c r="C163" s="28" t="s">
        <v>42</v>
      </c>
      <c r="D163" s="29">
        <v>260</v>
      </c>
      <c r="E163" s="29">
        <v>88</v>
      </c>
      <c r="F163" s="30">
        <v>226.04</v>
      </c>
      <c r="G163" s="28" t="s">
        <v>24</v>
      </c>
      <c r="H163" s="31">
        <v>45893</v>
      </c>
      <c r="I163" s="31">
        <v>46073</v>
      </c>
      <c r="J163" s="28" t="s">
        <v>31</v>
      </c>
      <c r="K163" s="27" t="s">
        <v>26</v>
      </c>
      <c r="L163" s="30">
        <v>58770.400000000001</v>
      </c>
      <c r="M163" s="28" t="s">
        <v>328</v>
      </c>
      <c r="N163" s="30">
        <v>58770.400000000001</v>
      </c>
    </row>
    <row r="164" spans="1:14" x14ac:dyDescent="0.3">
      <c r="A164" s="23" t="s">
        <v>387</v>
      </c>
      <c r="B164" s="23" t="s">
        <v>388</v>
      </c>
      <c r="C164" s="23" t="s">
        <v>42</v>
      </c>
      <c r="D164" s="24">
        <v>400</v>
      </c>
      <c r="E164" s="24">
        <v>189</v>
      </c>
      <c r="F164" s="25">
        <v>191.72</v>
      </c>
      <c r="G164" s="23" t="s">
        <v>34</v>
      </c>
      <c r="H164" s="26">
        <v>45899</v>
      </c>
      <c r="I164" s="26">
        <v>46108</v>
      </c>
      <c r="J164" s="23" t="s">
        <v>31</v>
      </c>
      <c r="K164" s="27" t="s">
        <v>26</v>
      </c>
      <c r="L164" s="25">
        <v>76688</v>
      </c>
      <c r="M164" s="23" t="s">
        <v>328</v>
      </c>
      <c r="N164" s="25">
        <v>76688</v>
      </c>
    </row>
    <row r="165" spans="1:14" x14ac:dyDescent="0.3">
      <c r="A165" s="28" t="s">
        <v>389</v>
      </c>
      <c r="B165" s="28" t="s">
        <v>390</v>
      </c>
      <c r="C165" s="28" t="s">
        <v>42</v>
      </c>
      <c r="D165" s="29">
        <v>132</v>
      </c>
      <c r="E165" s="29">
        <v>196</v>
      </c>
      <c r="F165" s="30">
        <v>194.57</v>
      </c>
      <c r="G165" s="28" t="s">
        <v>34</v>
      </c>
      <c r="H165" s="31">
        <v>45905</v>
      </c>
      <c r="I165" s="31">
        <v>46109</v>
      </c>
      <c r="J165" s="28" t="s">
        <v>18</v>
      </c>
      <c r="K165" s="32" t="s">
        <v>19</v>
      </c>
      <c r="L165" s="30">
        <v>25683.24</v>
      </c>
      <c r="M165" s="28" t="s">
        <v>339</v>
      </c>
      <c r="N165" s="30">
        <v>25683.24</v>
      </c>
    </row>
    <row r="166" spans="1:14" x14ac:dyDescent="0.3">
      <c r="A166" s="23" t="s">
        <v>391</v>
      </c>
      <c r="B166" s="23" t="s">
        <v>392</v>
      </c>
      <c r="C166" s="23" t="s">
        <v>42</v>
      </c>
      <c r="D166" s="24">
        <v>391</v>
      </c>
      <c r="E166" s="24">
        <v>171</v>
      </c>
      <c r="F166" s="25">
        <v>354.09</v>
      </c>
      <c r="G166" s="23" t="s">
        <v>24</v>
      </c>
      <c r="H166" s="26">
        <v>45911</v>
      </c>
      <c r="I166" s="26">
        <v>46112</v>
      </c>
      <c r="J166" s="23" t="s">
        <v>31</v>
      </c>
      <c r="K166" s="27" t="s">
        <v>26</v>
      </c>
      <c r="L166" s="25">
        <v>138449.19</v>
      </c>
      <c r="M166" s="23" t="s">
        <v>339</v>
      </c>
      <c r="N166" s="25">
        <v>138449.19</v>
      </c>
    </row>
    <row r="167" spans="1:14" x14ac:dyDescent="0.3">
      <c r="A167" s="28" t="s">
        <v>393</v>
      </c>
      <c r="B167" s="28" t="s">
        <v>394</v>
      </c>
      <c r="C167" s="28" t="s">
        <v>23</v>
      </c>
      <c r="D167" s="29">
        <v>415</v>
      </c>
      <c r="E167" s="29">
        <v>88</v>
      </c>
      <c r="F167" s="30">
        <v>250.19</v>
      </c>
      <c r="G167" s="28" t="s">
        <v>17</v>
      </c>
      <c r="H167" s="31">
        <v>45917</v>
      </c>
      <c r="I167" s="31">
        <v>46069</v>
      </c>
      <c r="J167" s="28" t="s">
        <v>31</v>
      </c>
      <c r="K167" s="27" t="s">
        <v>26</v>
      </c>
      <c r="L167" s="30">
        <v>103828.85</v>
      </c>
      <c r="M167" s="28" t="s">
        <v>339</v>
      </c>
      <c r="N167" s="30">
        <v>103828.85</v>
      </c>
    </row>
    <row r="168" spans="1:14" x14ac:dyDescent="0.3">
      <c r="A168" s="23" t="s">
        <v>396</v>
      </c>
      <c r="B168" s="23" t="s">
        <v>397</v>
      </c>
      <c r="C168" s="23" t="s">
        <v>23</v>
      </c>
      <c r="D168" s="24">
        <v>179</v>
      </c>
      <c r="E168" s="24">
        <v>75</v>
      </c>
      <c r="F168" s="25">
        <v>437.72</v>
      </c>
      <c r="G168" s="23" t="s">
        <v>17</v>
      </c>
      <c r="H168" s="26">
        <v>45923</v>
      </c>
      <c r="I168" s="26">
        <v>46101</v>
      </c>
      <c r="J168" s="23" t="s">
        <v>18</v>
      </c>
      <c r="K168" s="27" t="s">
        <v>26</v>
      </c>
      <c r="L168" s="25">
        <v>78351.88</v>
      </c>
      <c r="M168" s="23" t="s">
        <v>339</v>
      </c>
      <c r="N168" s="25">
        <v>78351.88</v>
      </c>
    </row>
    <row r="169" spans="1:14" x14ac:dyDescent="0.3">
      <c r="A169" s="28" t="s">
        <v>398</v>
      </c>
      <c r="B169" s="28" t="s">
        <v>399</v>
      </c>
      <c r="C169" s="28" t="s">
        <v>23</v>
      </c>
      <c r="D169" s="29">
        <v>17</v>
      </c>
      <c r="E169" s="29">
        <v>86</v>
      </c>
      <c r="F169" s="30">
        <v>207.94</v>
      </c>
      <c r="G169" s="28" t="s">
        <v>34</v>
      </c>
      <c r="H169" s="31">
        <v>45929</v>
      </c>
      <c r="I169" s="31">
        <v>46120</v>
      </c>
      <c r="J169" s="28" t="s">
        <v>18</v>
      </c>
      <c r="K169" s="32" t="s">
        <v>19</v>
      </c>
      <c r="L169" s="30">
        <v>3534.98</v>
      </c>
      <c r="M169" s="28" t="s">
        <v>339</v>
      </c>
      <c r="N169" s="30">
        <v>3534.98</v>
      </c>
    </row>
    <row r="170" spans="1:14" x14ac:dyDescent="0.3">
      <c r="A170" s="23" t="s">
        <v>400</v>
      </c>
      <c r="B170" s="23" t="s">
        <v>401</v>
      </c>
      <c r="C170" s="23" t="s">
        <v>42</v>
      </c>
      <c r="D170" s="24">
        <v>410</v>
      </c>
      <c r="E170" s="24">
        <v>117</v>
      </c>
      <c r="F170" s="25">
        <v>172.59</v>
      </c>
      <c r="G170" s="23" t="s">
        <v>17</v>
      </c>
      <c r="H170" s="26">
        <v>45935</v>
      </c>
      <c r="I170" s="26">
        <v>46129</v>
      </c>
      <c r="J170" s="23" t="s">
        <v>25</v>
      </c>
      <c r="K170" s="27" t="s">
        <v>26</v>
      </c>
      <c r="L170" s="25">
        <v>70761.899999999994</v>
      </c>
      <c r="M170" s="23" t="s">
        <v>348</v>
      </c>
      <c r="N170" s="25">
        <v>70761.899999999994</v>
      </c>
    </row>
    <row r="171" spans="1:14" x14ac:dyDescent="0.3">
      <c r="A171" s="28" t="s">
        <v>402</v>
      </c>
      <c r="B171" s="28" t="s">
        <v>403</v>
      </c>
      <c r="C171" s="28" t="s">
        <v>16</v>
      </c>
      <c r="D171" s="29">
        <v>446</v>
      </c>
      <c r="E171" s="29">
        <v>134</v>
      </c>
      <c r="F171" s="30">
        <v>426.91</v>
      </c>
      <c r="G171" s="28" t="s">
        <v>24</v>
      </c>
      <c r="H171" s="31">
        <v>45941</v>
      </c>
      <c r="I171" s="31">
        <v>46145</v>
      </c>
      <c r="J171" s="28" t="s">
        <v>18</v>
      </c>
      <c r="K171" s="27" t="s">
        <v>26</v>
      </c>
      <c r="L171" s="30">
        <v>190401.86</v>
      </c>
      <c r="M171" s="28" t="s">
        <v>348</v>
      </c>
      <c r="N171" s="30">
        <v>190401.86</v>
      </c>
    </row>
    <row r="172" spans="1:14" x14ac:dyDescent="0.3">
      <c r="A172" s="23" t="s">
        <v>404</v>
      </c>
      <c r="B172" s="23" t="s">
        <v>405</v>
      </c>
      <c r="C172" s="23" t="s">
        <v>16</v>
      </c>
      <c r="D172" s="24">
        <v>330</v>
      </c>
      <c r="E172" s="24">
        <v>174</v>
      </c>
      <c r="F172" s="25">
        <v>436.83</v>
      </c>
      <c r="G172" s="23" t="s">
        <v>34</v>
      </c>
      <c r="H172" s="26">
        <v>45947</v>
      </c>
      <c r="I172" s="26">
        <v>46099</v>
      </c>
      <c r="J172" s="23" t="s">
        <v>25</v>
      </c>
      <c r="K172" s="27" t="s">
        <v>26</v>
      </c>
      <c r="L172" s="25">
        <v>144153.9</v>
      </c>
      <c r="M172" s="23" t="s">
        <v>348</v>
      </c>
      <c r="N172" s="25">
        <v>144153.9</v>
      </c>
    </row>
    <row r="173" spans="1:14" x14ac:dyDescent="0.3">
      <c r="A173" s="28" t="s">
        <v>407</v>
      </c>
      <c r="B173" s="28" t="s">
        <v>408</v>
      </c>
      <c r="C173" s="28" t="s">
        <v>23</v>
      </c>
      <c r="D173" s="29">
        <v>333</v>
      </c>
      <c r="E173" s="29">
        <v>123</v>
      </c>
      <c r="F173" s="30">
        <v>498.73</v>
      </c>
      <c r="G173" s="28" t="s">
        <v>24</v>
      </c>
      <c r="H173" s="31">
        <v>45953</v>
      </c>
      <c r="I173" s="31">
        <v>46150</v>
      </c>
      <c r="J173" s="28" t="s">
        <v>25</v>
      </c>
      <c r="K173" s="27" t="s">
        <v>26</v>
      </c>
      <c r="L173" s="30">
        <v>166077.09</v>
      </c>
      <c r="M173" s="28" t="s">
        <v>348</v>
      </c>
      <c r="N173" s="30">
        <v>166077.09</v>
      </c>
    </row>
    <row r="174" spans="1:14" x14ac:dyDescent="0.3">
      <c r="A174" s="23" t="s">
        <v>409</v>
      </c>
      <c r="B174" s="23" t="s">
        <v>410</v>
      </c>
      <c r="C174" s="23" t="s">
        <v>42</v>
      </c>
      <c r="D174" s="24">
        <v>399</v>
      </c>
      <c r="E174" s="24">
        <v>75</v>
      </c>
      <c r="F174" s="25">
        <v>224.62</v>
      </c>
      <c r="G174" s="23" t="s">
        <v>34</v>
      </c>
      <c r="H174" s="26">
        <v>45959</v>
      </c>
      <c r="I174" s="26">
        <v>46153</v>
      </c>
      <c r="J174" s="23" t="s">
        <v>25</v>
      </c>
      <c r="K174" s="27" t="s">
        <v>26</v>
      </c>
      <c r="L174" s="25">
        <v>89623.38</v>
      </c>
      <c r="M174" s="23" t="s">
        <v>348</v>
      </c>
      <c r="N174" s="25">
        <v>89623.38</v>
      </c>
    </row>
    <row r="175" spans="1:14" x14ac:dyDescent="0.3">
      <c r="A175" s="28" t="s">
        <v>411</v>
      </c>
      <c r="B175" s="28" t="s">
        <v>412</v>
      </c>
      <c r="C175" s="28" t="s">
        <v>42</v>
      </c>
      <c r="D175" s="29">
        <v>176</v>
      </c>
      <c r="E175" s="29">
        <v>64</v>
      </c>
      <c r="F175" s="30">
        <v>150.22</v>
      </c>
      <c r="G175" s="28" t="s">
        <v>34</v>
      </c>
      <c r="H175" s="31">
        <v>45965</v>
      </c>
      <c r="I175" s="31">
        <v>46138</v>
      </c>
      <c r="J175" s="28" t="s">
        <v>25</v>
      </c>
      <c r="K175" s="27" t="s">
        <v>26</v>
      </c>
      <c r="L175" s="30">
        <v>26438.720000000001</v>
      </c>
      <c r="M175" s="28" t="s">
        <v>357</v>
      </c>
      <c r="N175" s="30">
        <v>26438.720000000001</v>
      </c>
    </row>
    <row r="176" spans="1:14" x14ac:dyDescent="0.3">
      <c r="A176" s="23" t="s">
        <v>413</v>
      </c>
      <c r="B176" s="23" t="s">
        <v>414</v>
      </c>
      <c r="C176" s="23" t="s">
        <v>23</v>
      </c>
      <c r="D176" s="24">
        <v>281</v>
      </c>
      <c r="E176" s="24">
        <v>155</v>
      </c>
      <c r="F176" s="25">
        <v>285.13</v>
      </c>
      <c r="G176" s="23" t="s">
        <v>34</v>
      </c>
      <c r="H176" s="26">
        <v>45971</v>
      </c>
      <c r="I176" s="26">
        <v>46171</v>
      </c>
      <c r="J176" s="23" t="s">
        <v>25</v>
      </c>
      <c r="K176" s="27" t="s">
        <v>26</v>
      </c>
      <c r="L176" s="25">
        <v>80121.53</v>
      </c>
      <c r="M176" s="23" t="s">
        <v>357</v>
      </c>
      <c r="N176" s="25">
        <v>80121.53</v>
      </c>
    </row>
    <row r="177" spans="1:14" x14ac:dyDescent="0.3">
      <c r="A177" s="28" t="s">
        <v>415</v>
      </c>
      <c r="B177" s="28" t="s">
        <v>416</v>
      </c>
      <c r="C177" s="28" t="s">
        <v>42</v>
      </c>
      <c r="D177" s="29">
        <v>50</v>
      </c>
      <c r="E177" s="29">
        <v>147</v>
      </c>
      <c r="F177" s="30">
        <v>311.76</v>
      </c>
      <c r="G177" s="28" t="s">
        <v>17</v>
      </c>
      <c r="H177" s="31">
        <v>45977</v>
      </c>
      <c r="I177" s="31">
        <v>46142</v>
      </c>
      <c r="J177" s="28" t="s">
        <v>25</v>
      </c>
      <c r="K177" s="32" t="s">
        <v>19</v>
      </c>
      <c r="L177" s="30">
        <v>15588</v>
      </c>
      <c r="M177" s="28" t="s">
        <v>357</v>
      </c>
      <c r="N177" s="30">
        <v>15588</v>
      </c>
    </row>
    <row r="178" spans="1:14" x14ac:dyDescent="0.3">
      <c r="A178" s="23" t="s">
        <v>417</v>
      </c>
      <c r="B178" s="23" t="s">
        <v>418</v>
      </c>
      <c r="C178" s="23" t="s">
        <v>42</v>
      </c>
      <c r="D178" s="24">
        <v>128</v>
      </c>
      <c r="E178" s="24">
        <v>168</v>
      </c>
      <c r="F178" s="25">
        <v>320.76</v>
      </c>
      <c r="G178" s="23" t="s">
        <v>17</v>
      </c>
      <c r="H178" s="26">
        <v>45983</v>
      </c>
      <c r="I178" s="26">
        <v>46162</v>
      </c>
      <c r="J178" s="23" t="s">
        <v>25</v>
      </c>
      <c r="K178" s="32" t="s">
        <v>19</v>
      </c>
      <c r="L178" s="25">
        <v>41057.279999999999</v>
      </c>
      <c r="M178" s="23" t="s">
        <v>357</v>
      </c>
      <c r="N178" s="25">
        <v>41057.279999999999</v>
      </c>
    </row>
    <row r="179" spans="1:14" x14ac:dyDescent="0.3">
      <c r="A179" s="28" t="s">
        <v>419</v>
      </c>
      <c r="B179" s="28" t="s">
        <v>420</v>
      </c>
      <c r="C179" s="28" t="s">
        <v>16</v>
      </c>
      <c r="D179" s="29">
        <v>470</v>
      </c>
      <c r="E179" s="29">
        <v>169</v>
      </c>
      <c r="F179" s="30">
        <v>451.1</v>
      </c>
      <c r="G179" s="28" t="s">
        <v>34</v>
      </c>
      <c r="H179" s="31">
        <v>45989</v>
      </c>
      <c r="I179" s="31">
        <v>46182</v>
      </c>
      <c r="J179" s="28" t="s">
        <v>25</v>
      </c>
      <c r="K179" s="27" t="s">
        <v>26</v>
      </c>
      <c r="L179" s="30">
        <v>212017</v>
      </c>
      <c r="M179" s="28" t="s">
        <v>357</v>
      </c>
      <c r="N179" s="30">
        <v>212017</v>
      </c>
    </row>
    <row r="180" spans="1:14" x14ac:dyDescent="0.3">
      <c r="A180" s="23" t="s">
        <v>421</v>
      </c>
      <c r="B180" s="23" t="s">
        <v>422</v>
      </c>
      <c r="C180" s="23" t="s">
        <v>16</v>
      </c>
      <c r="D180" s="24">
        <v>236</v>
      </c>
      <c r="E180" s="24">
        <v>138</v>
      </c>
      <c r="F180" s="25">
        <v>493.89</v>
      </c>
      <c r="G180" s="23" t="s">
        <v>24</v>
      </c>
      <c r="H180" s="26">
        <v>45995</v>
      </c>
      <c r="I180" s="26">
        <v>46164</v>
      </c>
      <c r="J180" s="23" t="s">
        <v>31</v>
      </c>
      <c r="K180" s="27" t="s">
        <v>26</v>
      </c>
      <c r="L180" s="25">
        <v>116558.04</v>
      </c>
      <c r="M180" s="23" t="s">
        <v>368</v>
      </c>
      <c r="N180" s="25">
        <v>116558.04</v>
      </c>
    </row>
    <row r="181" spans="1:14" x14ac:dyDescent="0.3">
      <c r="A181" s="28" t="s">
        <v>423</v>
      </c>
      <c r="B181" s="28" t="s">
        <v>424</v>
      </c>
      <c r="C181" s="28" t="s">
        <v>42</v>
      </c>
      <c r="D181" s="29">
        <v>138</v>
      </c>
      <c r="E181" s="29">
        <v>166</v>
      </c>
      <c r="F181" s="30">
        <v>423.43</v>
      </c>
      <c r="G181" s="28" t="s">
        <v>24</v>
      </c>
      <c r="H181" s="31">
        <v>46001</v>
      </c>
      <c r="I181" s="31">
        <v>46163</v>
      </c>
      <c r="J181" s="28" t="s">
        <v>25</v>
      </c>
      <c r="K181" s="32" t="s">
        <v>19</v>
      </c>
      <c r="L181" s="30">
        <v>58433.34</v>
      </c>
      <c r="M181" s="28" t="s">
        <v>368</v>
      </c>
      <c r="N181" s="30">
        <v>58433.34</v>
      </c>
    </row>
    <row r="182" spans="1:14" x14ac:dyDescent="0.3">
      <c r="A182" s="23" t="s">
        <v>425</v>
      </c>
      <c r="B182" s="23" t="s">
        <v>426</v>
      </c>
      <c r="C182" s="23" t="s">
        <v>42</v>
      </c>
      <c r="D182" s="24">
        <v>131</v>
      </c>
      <c r="E182" s="24">
        <v>147</v>
      </c>
      <c r="F182" s="25">
        <v>288.10000000000002</v>
      </c>
      <c r="G182" s="23" t="s">
        <v>17</v>
      </c>
      <c r="H182" s="26">
        <v>46007</v>
      </c>
      <c r="I182" s="26">
        <v>46193</v>
      </c>
      <c r="J182" s="23" t="s">
        <v>18</v>
      </c>
      <c r="K182" s="32" t="s">
        <v>19</v>
      </c>
      <c r="L182" s="25">
        <v>37741.1</v>
      </c>
      <c r="M182" s="23" t="s">
        <v>368</v>
      </c>
      <c r="N182" s="25">
        <v>37741.1</v>
      </c>
    </row>
    <row r="183" spans="1:14" x14ac:dyDescent="0.3">
      <c r="A183" s="28" t="s">
        <v>427</v>
      </c>
      <c r="B183" s="28" t="s">
        <v>428</v>
      </c>
      <c r="C183" s="28" t="s">
        <v>16</v>
      </c>
      <c r="D183" s="29">
        <v>21</v>
      </c>
      <c r="E183" s="29">
        <v>151</v>
      </c>
      <c r="F183" s="30">
        <v>140.87</v>
      </c>
      <c r="G183" s="28" t="s">
        <v>17</v>
      </c>
      <c r="H183" s="31">
        <v>46013</v>
      </c>
      <c r="I183" s="31">
        <v>46199</v>
      </c>
      <c r="J183" s="28" t="s">
        <v>25</v>
      </c>
      <c r="K183" s="32" t="s">
        <v>19</v>
      </c>
      <c r="L183" s="30">
        <v>2958.27</v>
      </c>
      <c r="M183" s="28" t="s">
        <v>368</v>
      </c>
      <c r="N183" s="30">
        <v>2958.27</v>
      </c>
    </row>
    <row r="184" spans="1:14" x14ac:dyDescent="0.3">
      <c r="A184" s="23" t="s">
        <v>429</v>
      </c>
      <c r="B184" s="23" t="s">
        <v>430</v>
      </c>
      <c r="C184" s="23" t="s">
        <v>42</v>
      </c>
      <c r="D184" s="24">
        <v>476</v>
      </c>
      <c r="E184" s="24">
        <v>177</v>
      </c>
      <c r="F184" s="25">
        <v>417.26</v>
      </c>
      <c r="G184" s="23" t="s">
        <v>34</v>
      </c>
      <c r="H184" s="26">
        <v>46019</v>
      </c>
      <c r="I184" s="26">
        <v>46226</v>
      </c>
      <c r="J184" s="23" t="s">
        <v>31</v>
      </c>
      <c r="K184" s="27" t="s">
        <v>26</v>
      </c>
      <c r="L184" s="25">
        <v>198615.76</v>
      </c>
      <c r="M184" s="23" t="s">
        <v>368</v>
      </c>
      <c r="N184" s="25">
        <v>198615.76</v>
      </c>
    </row>
    <row r="185" spans="1:14" x14ac:dyDescent="0.3">
      <c r="A185" s="28" t="s">
        <v>431</v>
      </c>
      <c r="B185" s="28" t="s">
        <v>432</v>
      </c>
      <c r="C185" s="28" t="s">
        <v>16</v>
      </c>
      <c r="D185" s="29">
        <v>420</v>
      </c>
      <c r="E185" s="29">
        <v>140</v>
      </c>
      <c r="F185" s="30">
        <v>113.41</v>
      </c>
      <c r="G185" s="28" t="s">
        <v>24</v>
      </c>
      <c r="H185" s="31">
        <v>46025</v>
      </c>
      <c r="I185" s="31">
        <v>46187</v>
      </c>
      <c r="J185" s="28" t="s">
        <v>31</v>
      </c>
      <c r="K185" s="27" t="s">
        <v>26</v>
      </c>
      <c r="L185" s="30">
        <v>47632.2</v>
      </c>
      <c r="M185" s="28" t="s">
        <v>377</v>
      </c>
      <c r="N185" s="30">
        <v>47632.2</v>
      </c>
    </row>
    <row r="186" spans="1:14" x14ac:dyDescent="0.3">
      <c r="A186" s="23" t="s">
        <v>433</v>
      </c>
      <c r="B186" s="23" t="s">
        <v>434</v>
      </c>
      <c r="C186" s="23" t="s">
        <v>16</v>
      </c>
      <c r="D186" s="24">
        <v>396</v>
      </c>
      <c r="E186" s="24">
        <v>85</v>
      </c>
      <c r="F186" s="25">
        <v>315.98</v>
      </c>
      <c r="G186" s="23" t="s">
        <v>17</v>
      </c>
      <c r="H186" s="26">
        <v>46031</v>
      </c>
      <c r="I186" s="26">
        <v>46238</v>
      </c>
      <c r="J186" s="23" t="s">
        <v>25</v>
      </c>
      <c r="K186" s="27" t="s">
        <v>26</v>
      </c>
      <c r="L186" s="25">
        <v>125128.08</v>
      </c>
      <c r="M186" s="23" t="s">
        <v>377</v>
      </c>
      <c r="N186" s="25">
        <v>125128.08</v>
      </c>
    </row>
    <row r="187" spans="1:14" x14ac:dyDescent="0.3">
      <c r="A187" s="28" t="s">
        <v>435</v>
      </c>
      <c r="B187" s="28" t="s">
        <v>436</v>
      </c>
      <c r="C187" s="28" t="s">
        <v>16</v>
      </c>
      <c r="D187" s="29">
        <v>168</v>
      </c>
      <c r="E187" s="29">
        <v>162</v>
      </c>
      <c r="F187" s="30">
        <v>21.52</v>
      </c>
      <c r="G187" s="28" t="s">
        <v>34</v>
      </c>
      <c r="H187" s="31">
        <v>46037</v>
      </c>
      <c r="I187" s="31">
        <v>46210</v>
      </c>
      <c r="J187" s="28" t="s">
        <v>25</v>
      </c>
      <c r="K187" s="27" t="s">
        <v>26</v>
      </c>
      <c r="L187" s="30">
        <v>3615.36</v>
      </c>
      <c r="M187" s="28" t="s">
        <v>377</v>
      </c>
      <c r="N187" s="30">
        <v>3615.36</v>
      </c>
    </row>
    <row r="188" spans="1:14" x14ac:dyDescent="0.3">
      <c r="A188" s="23" t="s">
        <v>437</v>
      </c>
      <c r="B188" s="23" t="s">
        <v>438</v>
      </c>
      <c r="C188" s="23" t="s">
        <v>23</v>
      </c>
      <c r="D188" s="24">
        <v>475</v>
      </c>
      <c r="E188" s="24">
        <v>125</v>
      </c>
      <c r="F188" s="25">
        <v>166.73</v>
      </c>
      <c r="G188" s="23" t="s">
        <v>34</v>
      </c>
      <c r="H188" s="26">
        <v>46043</v>
      </c>
      <c r="I188" s="26">
        <v>46219</v>
      </c>
      <c r="J188" s="23" t="s">
        <v>25</v>
      </c>
      <c r="K188" s="27" t="s">
        <v>26</v>
      </c>
      <c r="L188" s="25">
        <v>79196.75</v>
      </c>
      <c r="M188" s="23" t="s">
        <v>377</v>
      </c>
      <c r="N188" s="25">
        <v>79196.75</v>
      </c>
    </row>
    <row r="189" spans="1:14" x14ac:dyDescent="0.3">
      <c r="A189" s="28" t="s">
        <v>439</v>
      </c>
      <c r="B189" s="28" t="s">
        <v>440</v>
      </c>
      <c r="C189" s="28" t="s">
        <v>16</v>
      </c>
      <c r="D189" s="29">
        <v>412</v>
      </c>
      <c r="E189" s="29">
        <v>188</v>
      </c>
      <c r="F189" s="30">
        <v>438.85</v>
      </c>
      <c r="G189" s="28" t="s">
        <v>17</v>
      </c>
      <c r="H189" s="31">
        <v>46049</v>
      </c>
      <c r="I189" s="31">
        <v>46222</v>
      </c>
      <c r="J189" s="28" t="s">
        <v>18</v>
      </c>
      <c r="K189" s="27" t="s">
        <v>26</v>
      </c>
      <c r="L189" s="30">
        <v>180806.2</v>
      </c>
      <c r="M189" s="28" t="s">
        <v>377</v>
      </c>
      <c r="N189" s="30">
        <v>180806.2</v>
      </c>
    </row>
    <row r="190" spans="1:14" x14ac:dyDescent="0.3">
      <c r="A190" s="23" t="s">
        <v>441</v>
      </c>
      <c r="B190" s="23" t="s">
        <v>442</v>
      </c>
      <c r="C190" s="23" t="s">
        <v>42</v>
      </c>
      <c r="D190" s="24">
        <v>435</v>
      </c>
      <c r="E190" s="24">
        <v>92</v>
      </c>
      <c r="F190" s="25">
        <v>132.19999999999999</v>
      </c>
      <c r="G190" s="23" t="s">
        <v>24</v>
      </c>
      <c r="H190" s="26">
        <v>46055</v>
      </c>
      <c r="I190" s="26">
        <v>46257</v>
      </c>
      <c r="J190" s="23" t="s">
        <v>31</v>
      </c>
      <c r="K190" s="27" t="s">
        <v>26</v>
      </c>
      <c r="L190" s="25">
        <v>57507</v>
      </c>
      <c r="M190" s="23" t="s">
        <v>386</v>
      </c>
      <c r="N190" s="25">
        <v>57507</v>
      </c>
    </row>
    <row r="191" spans="1:14" x14ac:dyDescent="0.3">
      <c r="A191" s="28" t="s">
        <v>443</v>
      </c>
      <c r="B191" s="28" t="s">
        <v>444</v>
      </c>
      <c r="C191" s="28" t="s">
        <v>23</v>
      </c>
      <c r="D191" s="29">
        <v>455</v>
      </c>
      <c r="E191" s="29">
        <v>136</v>
      </c>
      <c r="F191" s="30">
        <v>403.1</v>
      </c>
      <c r="G191" s="28" t="s">
        <v>34</v>
      </c>
      <c r="H191" s="31">
        <v>46061</v>
      </c>
      <c r="I191" s="31">
        <v>46240</v>
      </c>
      <c r="J191" s="28" t="s">
        <v>25</v>
      </c>
      <c r="K191" s="27" t="s">
        <v>26</v>
      </c>
      <c r="L191" s="30">
        <v>183410.5</v>
      </c>
      <c r="M191" s="28" t="s">
        <v>386</v>
      </c>
      <c r="N191" s="30">
        <v>183410.5</v>
      </c>
    </row>
    <row r="192" spans="1:14" x14ac:dyDescent="0.3">
      <c r="A192" s="23" t="s">
        <v>445</v>
      </c>
      <c r="B192" s="23" t="s">
        <v>446</v>
      </c>
      <c r="C192" s="23" t="s">
        <v>16</v>
      </c>
      <c r="D192" s="24">
        <v>450</v>
      </c>
      <c r="E192" s="24">
        <v>151</v>
      </c>
      <c r="F192" s="25">
        <v>483.8</v>
      </c>
      <c r="G192" s="23" t="s">
        <v>24</v>
      </c>
      <c r="H192" s="26">
        <v>46067</v>
      </c>
      <c r="I192" s="26">
        <v>46268</v>
      </c>
      <c r="J192" s="23" t="s">
        <v>25</v>
      </c>
      <c r="K192" s="27" t="s">
        <v>26</v>
      </c>
      <c r="L192" s="25">
        <v>217710</v>
      </c>
      <c r="M192" s="23" t="s">
        <v>386</v>
      </c>
      <c r="N192" s="25">
        <v>217710</v>
      </c>
    </row>
    <row r="193" spans="1:14" x14ac:dyDescent="0.3">
      <c r="A193" s="28" t="s">
        <v>447</v>
      </c>
      <c r="B193" s="28" t="s">
        <v>448</v>
      </c>
      <c r="C193" s="28" t="s">
        <v>23</v>
      </c>
      <c r="D193" s="29">
        <v>414</v>
      </c>
      <c r="E193" s="29">
        <v>151</v>
      </c>
      <c r="F193" s="30">
        <v>11.89</v>
      </c>
      <c r="G193" s="28" t="s">
        <v>24</v>
      </c>
      <c r="H193" s="31">
        <v>46073</v>
      </c>
      <c r="I193" s="31">
        <v>46257</v>
      </c>
      <c r="J193" s="28" t="s">
        <v>18</v>
      </c>
      <c r="K193" s="27" t="s">
        <v>26</v>
      </c>
      <c r="L193" s="30">
        <v>4922.46</v>
      </c>
      <c r="M193" s="28" t="s">
        <v>386</v>
      </c>
      <c r="N193" s="30">
        <v>4922.46</v>
      </c>
    </row>
    <row r="194" spans="1:14" x14ac:dyDescent="0.3">
      <c r="A194" s="23" t="s">
        <v>449</v>
      </c>
      <c r="B194" s="23" t="s">
        <v>450</v>
      </c>
      <c r="C194" s="23" t="s">
        <v>16</v>
      </c>
      <c r="D194" s="24">
        <v>354</v>
      </c>
      <c r="E194" s="24">
        <v>117</v>
      </c>
      <c r="F194" s="25">
        <v>294.36</v>
      </c>
      <c r="G194" s="23" t="s">
        <v>24</v>
      </c>
      <c r="H194" s="26">
        <v>46079</v>
      </c>
      <c r="I194" s="26">
        <v>46281</v>
      </c>
      <c r="J194" s="23" t="s">
        <v>25</v>
      </c>
      <c r="K194" s="27" t="s">
        <v>26</v>
      </c>
      <c r="L194" s="25">
        <v>104203.44</v>
      </c>
      <c r="M194" s="23" t="s">
        <v>386</v>
      </c>
      <c r="N194" s="25">
        <v>104203.44</v>
      </c>
    </row>
    <row r="195" spans="1:14" x14ac:dyDescent="0.3">
      <c r="A195" s="28" t="s">
        <v>451</v>
      </c>
      <c r="B195" s="28" t="s">
        <v>452</v>
      </c>
      <c r="C195" s="28" t="s">
        <v>16</v>
      </c>
      <c r="D195" s="29">
        <v>355</v>
      </c>
      <c r="E195" s="29">
        <v>109</v>
      </c>
      <c r="F195" s="30">
        <v>238.38</v>
      </c>
      <c r="G195" s="28" t="s">
        <v>24</v>
      </c>
      <c r="H195" s="31">
        <v>46085</v>
      </c>
      <c r="I195" s="31">
        <v>46274</v>
      </c>
      <c r="J195" s="28" t="s">
        <v>31</v>
      </c>
      <c r="K195" s="27" t="s">
        <v>26</v>
      </c>
      <c r="L195" s="30">
        <v>84624.9</v>
      </c>
      <c r="M195" s="28" t="s">
        <v>395</v>
      </c>
      <c r="N195" s="30">
        <v>84624.9</v>
      </c>
    </row>
    <row r="196" spans="1:14" x14ac:dyDescent="0.3">
      <c r="A196" s="23" t="s">
        <v>453</v>
      </c>
      <c r="B196" s="23" t="s">
        <v>454</v>
      </c>
      <c r="C196" s="23" t="s">
        <v>16</v>
      </c>
      <c r="D196" s="24">
        <v>123</v>
      </c>
      <c r="E196" s="24">
        <v>66</v>
      </c>
      <c r="F196" s="25">
        <v>319.52</v>
      </c>
      <c r="G196" s="23" t="s">
        <v>24</v>
      </c>
      <c r="H196" s="26">
        <v>46091</v>
      </c>
      <c r="I196" s="26">
        <v>46270</v>
      </c>
      <c r="J196" s="23" t="s">
        <v>31</v>
      </c>
      <c r="K196" s="27" t="s">
        <v>26</v>
      </c>
      <c r="L196" s="25">
        <v>39300.959999999999</v>
      </c>
      <c r="M196" s="23" t="s">
        <v>395</v>
      </c>
      <c r="N196" s="25">
        <v>39300.959999999999</v>
      </c>
    </row>
    <row r="197" spans="1:14" x14ac:dyDescent="0.3">
      <c r="A197" s="28" t="s">
        <v>455</v>
      </c>
      <c r="B197" s="28" t="s">
        <v>456</v>
      </c>
      <c r="C197" s="28" t="s">
        <v>23</v>
      </c>
      <c r="D197" s="29">
        <v>219</v>
      </c>
      <c r="E197" s="29">
        <v>79</v>
      </c>
      <c r="F197" s="30">
        <v>74.19</v>
      </c>
      <c r="G197" s="28" t="s">
        <v>24</v>
      </c>
      <c r="H197" s="31">
        <v>46097</v>
      </c>
      <c r="I197" s="31">
        <v>46307</v>
      </c>
      <c r="J197" s="28" t="s">
        <v>18</v>
      </c>
      <c r="K197" s="27" t="s">
        <v>26</v>
      </c>
      <c r="L197" s="30">
        <v>16247.61</v>
      </c>
      <c r="M197" s="28" t="s">
        <v>395</v>
      </c>
      <c r="N197" s="30">
        <v>16247.61</v>
      </c>
    </row>
    <row r="198" spans="1:14" x14ac:dyDescent="0.3">
      <c r="A198" s="23" t="s">
        <v>457</v>
      </c>
      <c r="B198" s="23" t="s">
        <v>458</v>
      </c>
      <c r="C198" s="23" t="s">
        <v>23</v>
      </c>
      <c r="D198" s="24">
        <v>69</v>
      </c>
      <c r="E198" s="24">
        <v>74</v>
      </c>
      <c r="F198" s="25">
        <v>121.23</v>
      </c>
      <c r="G198" s="23" t="s">
        <v>24</v>
      </c>
      <c r="H198" s="26">
        <v>46103</v>
      </c>
      <c r="I198" s="26">
        <v>46287</v>
      </c>
      <c r="J198" s="23" t="s">
        <v>18</v>
      </c>
      <c r="K198" s="32" t="s">
        <v>19</v>
      </c>
      <c r="L198" s="25">
        <v>8364.8700000000008</v>
      </c>
      <c r="M198" s="23" t="s">
        <v>395</v>
      </c>
      <c r="N198" s="25">
        <v>8364.8700000000008</v>
      </c>
    </row>
    <row r="199" spans="1:14" x14ac:dyDescent="0.3">
      <c r="A199" s="28" t="s">
        <v>459</v>
      </c>
      <c r="B199" s="28" t="s">
        <v>460</v>
      </c>
      <c r="C199" s="28" t="s">
        <v>16</v>
      </c>
      <c r="D199" s="29">
        <v>199</v>
      </c>
      <c r="E199" s="29">
        <v>188</v>
      </c>
      <c r="F199" s="30">
        <v>212.47</v>
      </c>
      <c r="G199" s="28" t="s">
        <v>34</v>
      </c>
      <c r="H199" s="31">
        <v>46109</v>
      </c>
      <c r="I199" s="31">
        <v>46306</v>
      </c>
      <c r="J199" s="28" t="s">
        <v>18</v>
      </c>
      <c r="K199" s="27" t="s">
        <v>26</v>
      </c>
      <c r="L199" s="30">
        <v>42281.53</v>
      </c>
      <c r="M199" s="28" t="s">
        <v>395</v>
      </c>
      <c r="N199" s="30">
        <v>42281.53</v>
      </c>
    </row>
    <row r="200" spans="1:14" x14ac:dyDescent="0.3">
      <c r="A200" s="23" t="s">
        <v>461</v>
      </c>
      <c r="B200" s="23" t="s">
        <v>462</v>
      </c>
      <c r="C200" s="23" t="s">
        <v>42</v>
      </c>
      <c r="D200" s="24">
        <v>345</v>
      </c>
      <c r="E200" s="24">
        <v>75</v>
      </c>
      <c r="F200" s="25">
        <v>417.68</v>
      </c>
      <c r="G200" s="23" t="s">
        <v>24</v>
      </c>
      <c r="H200" s="26">
        <v>46115</v>
      </c>
      <c r="I200" s="26">
        <v>46304</v>
      </c>
      <c r="J200" s="23" t="s">
        <v>25</v>
      </c>
      <c r="K200" s="27" t="s">
        <v>26</v>
      </c>
      <c r="L200" s="25">
        <v>144099.6</v>
      </c>
      <c r="M200" s="23" t="s">
        <v>406</v>
      </c>
      <c r="N200" s="25">
        <v>144099.6</v>
      </c>
    </row>
    <row r="201" spans="1:14" x14ac:dyDescent="0.3">
      <c r="A201" s="28" t="s">
        <v>463</v>
      </c>
      <c r="B201" s="28" t="s">
        <v>464</v>
      </c>
      <c r="C201" s="28" t="s">
        <v>23</v>
      </c>
      <c r="D201" s="29">
        <v>363</v>
      </c>
      <c r="E201" s="29">
        <v>144</v>
      </c>
      <c r="F201" s="30">
        <v>112.55</v>
      </c>
      <c r="G201" s="28" t="s">
        <v>24</v>
      </c>
      <c r="H201" s="31">
        <v>46121</v>
      </c>
      <c r="I201" s="31">
        <v>46299</v>
      </c>
      <c r="J201" s="28" t="s">
        <v>25</v>
      </c>
      <c r="K201" s="27" t="s">
        <v>26</v>
      </c>
      <c r="L201" s="30">
        <v>40855.65</v>
      </c>
      <c r="M201" s="28" t="s">
        <v>406</v>
      </c>
      <c r="N201" s="30">
        <v>40855.65</v>
      </c>
    </row>
  </sheetData>
  <autoFilter ref="A1:N201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4"/>
  <sheetViews>
    <sheetView topLeftCell="A41" zoomScale="103" zoomScaleNormal="115" workbookViewId="0">
      <selection activeCell="O14" sqref="O14"/>
    </sheetView>
  </sheetViews>
  <sheetFormatPr defaultColWidth="8.6640625" defaultRowHeight="14.4" x14ac:dyDescent="0.3"/>
  <cols>
    <col min="2" max="2" width="18.44140625" customWidth="1"/>
    <col min="3" max="3" width="10.109375" customWidth="1"/>
    <col min="4" max="4" width="10.88671875" customWidth="1"/>
    <col min="5" max="5" width="15.21875" bestFit="1" customWidth="1"/>
    <col min="6" max="6" width="13.6640625" customWidth="1"/>
    <col min="7" max="7" width="14.109375" customWidth="1"/>
    <col min="9" max="9" width="18" customWidth="1"/>
    <col min="10" max="10" width="17" customWidth="1"/>
    <col min="11" max="11" width="15.6640625" customWidth="1"/>
    <col min="12" max="12" width="15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11</v>
      </c>
      <c r="E1" t="s">
        <v>465</v>
      </c>
      <c r="F1" t="s">
        <v>467</v>
      </c>
      <c r="G1" t="s">
        <v>466</v>
      </c>
      <c r="I1" t="s">
        <v>468</v>
      </c>
    </row>
    <row r="2" spans="1:12" x14ac:dyDescent="0.3">
      <c r="A2" t="str">
        <f>Data!A32</f>
        <v>ELE0031</v>
      </c>
      <c r="B2" t="str">
        <f>Data!B32</f>
        <v>Electronics Item 31</v>
      </c>
      <c r="C2" t="str">
        <f>Data!C32</f>
        <v>Category C</v>
      </c>
      <c r="D2" s="2">
        <f>Data!L32</f>
        <v>75937.5</v>
      </c>
      <c r="E2" s="2">
        <f>D2</f>
        <v>75937.5</v>
      </c>
      <c r="F2" s="3">
        <f>E2/$E$201</f>
        <v>5.637160336128497E-3</v>
      </c>
      <c r="G2" t="str">
        <f>IF(F2&lt;=70%,"A",IF(F2&lt;=90%,"B","C"))</f>
        <v>A</v>
      </c>
      <c r="I2" t="s">
        <v>469</v>
      </c>
      <c r="J2" t="s">
        <v>470</v>
      </c>
      <c r="K2" t="s">
        <v>471</v>
      </c>
      <c r="L2" t="s">
        <v>472</v>
      </c>
    </row>
    <row r="3" spans="1:12" x14ac:dyDescent="0.3">
      <c r="A3" t="str">
        <f>Data!A101</f>
        <v>ELE0100</v>
      </c>
      <c r="B3" t="str">
        <f>Data!B101</f>
        <v>Electronics Item 100</v>
      </c>
      <c r="C3" t="str">
        <f>Data!C101</f>
        <v>Category C</v>
      </c>
      <c r="D3" s="2">
        <f>Data!L101</f>
        <v>128462.19</v>
      </c>
      <c r="E3" s="2">
        <f>E2+D3</f>
        <v>204399.69</v>
      </c>
      <c r="F3" s="3">
        <f>E3/$E$201</f>
        <v>1.5173449549760798E-2</v>
      </c>
      <c r="G3" s="22" t="str">
        <f>IF(F3&lt;=70%,"A",IF(F3&lt;=90%,"B","C"))</f>
        <v>A</v>
      </c>
      <c r="I3" t="s">
        <v>473</v>
      </c>
      <c r="J3">
        <f>COUNTIF($G$2:$G$201,"A")</f>
        <v>135</v>
      </c>
      <c r="K3">
        <f>SUMIF($G$2:$G$201,"A",$D$2:$D$201)</f>
        <v>9329988.4500000011</v>
      </c>
      <c r="L3">
        <f>K3/$K$6</f>
        <v>0.69260432364611668</v>
      </c>
    </row>
    <row r="4" spans="1:12" ht="15" x14ac:dyDescent="0.35">
      <c r="A4" t="str">
        <f>Data!A158</f>
        <v>ELE0157</v>
      </c>
      <c r="B4" t="str">
        <f>Data!B158</f>
        <v>Electronics Item 157</v>
      </c>
      <c r="C4" t="str">
        <f>Data!C158</f>
        <v>Category B</v>
      </c>
      <c r="D4" s="2">
        <f>Data!L158</f>
        <v>85829.7</v>
      </c>
      <c r="E4" s="2">
        <f>E3+D4</f>
        <v>290229.39</v>
      </c>
      <c r="F4" s="3">
        <f>E4/$E$201</f>
        <v>2.1544949539908067E-2</v>
      </c>
      <c r="G4" s="22" t="str">
        <f>IF(F4&lt;=70%,"A",IF(F4&lt;=90%,"B","C"))</f>
        <v>A</v>
      </c>
      <c r="I4" t="s">
        <v>474</v>
      </c>
      <c r="J4">
        <f>COUNTIF($G$2:$G$201,"B")</f>
        <v>43</v>
      </c>
      <c r="K4">
        <f>SUMIF($G$2:$G$201,"B",$D$2:$D$201)</f>
        <v>2638307.1900000004</v>
      </c>
      <c r="L4" s="4">
        <f>K4/$K$6</f>
        <v>0.19585265048218109</v>
      </c>
    </row>
    <row r="5" spans="1:12" x14ac:dyDescent="0.3">
      <c r="A5" t="str">
        <f>Data!A64</f>
        <v>ELE0063</v>
      </c>
      <c r="B5" t="str">
        <f>Data!B64</f>
        <v>Electronics Item 63</v>
      </c>
      <c r="C5" t="str">
        <f>Data!C64</f>
        <v>Category B</v>
      </c>
      <c r="D5" s="2">
        <f>Data!L64</f>
        <v>5787.65</v>
      </c>
      <c r="E5" s="2">
        <f>E4+D5</f>
        <v>296017.04000000004</v>
      </c>
      <c r="F5" s="3">
        <f>E5/$E$201</f>
        <v>2.1974591166500912E-2</v>
      </c>
      <c r="G5" s="22" t="str">
        <f>IF(F5&lt;=70%,"A",IF(F5&lt;=90%,"B","C"))</f>
        <v>A</v>
      </c>
      <c r="I5" t="s">
        <v>476</v>
      </c>
      <c r="J5">
        <f>COUNTIF($G$2:$G$201,"C")</f>
        <v>22</v>
      </c>
      <c r="K5">
        <f>SUMIF($G$2:$G$201,"C",$D$2:$D$201)</f>
        <v>1502582.51</v>
      </c>
      <c r="L5">
        <f>K5/$K$6</f>
        <v>0.11154302587170235</v>
      </c>
    </row>
    <row r="6" spans="1:12" x14ac:dyDescent="0.3">
      <c r="A6" t="str">
        <f>Data!A155</f>
        <v>ELE0154</v>
      </c>
      <c r="B6" t="str">
        <f>Data!B155</f>
        <v>Electronics Item 154</v>
      </c>
      <c r="C6" t="str">
        <f>Data!C155</f>
        <v>Category C</v>
      </c>
      <c r="D6" s="2">
        <f>Data!L155</f>
        <v>135082.20000000001</v>
      </c>
      <c r="E6" s="2">
        <f>E5+D6</f>
        <v>431099.24000000005</v>
      </c>
      <c r="F6" s="3">
        <f>E6/$E$201</f>
        <v>3.2002311593917893E-2</v>
      </c>
      <c r="G6" s="22" t="str">
        <f>IF(F6&lt;=70%,"A",IF(F6&lt;=90%,"B","C"))</f>
        <v>A</v>
      </c>
      <c r="I6" t="s">
        <v>475</v>
      </c>
      <c r="J6">
        <f>SUM(J3:J5)</f>
        <v>200</v>
      </c>
      <c r="K6">
        <f>SUM(K3:K5)</f>
        <v>13470878.15</v>
      </c>
      <c r="L6">
        <f>SUM(L3:L5)</f>
        <v>1</v>
      </c>
    </row>
    <row r="7" spans="1:12" x14ac:dyDescent="0.3">
      <c r="A7" t="str">
        <f>Data!A94</f>
        <v>ELE0093</v>
      </c>
      <c r="B7" t="str">
        <f>Data!B94</f>
        <v>Electronics Item 93</v>
      </c>
      <c r="C7" t="str">
        <f>Data!C94</f>
        <v>Category A</v>
      </c>
      <c r="D7" s="2">
        <f>Data!L94</f>
        <v>9557.6</v>
      </c>
      <c r="E7" s="2">
        <f>E6+D7</f>
        <v>440656.84</v>
      </c>
      <c r="F7" s="3">
        <f>E7/$E$201</f>
        <v>3.2711812481207858E-2</v>
      </c>
      <c r="G7" s="22" t="str">
        <f>IF(F7&lt;=70%,"A",IF(F7&lt;=90%,"B","C"))</f>
        <v>A</v>
      </c>
    </row>
    <row r="8" spans="1:12" x14ac:dyDescent="0.3">
      <c r="A8" t="str">
        <f>Data!A180</f>
        <v>ELE0179</v>
      </c>
      <c r="B8" t="str">
        <f>Data!B180</f>
        <v>Electronics Item 179</v>
      </c>
      <c r="C8" t="str">
        <f>Data!C180</f>
        <v>Category C</v>
      </c>
      <c r="D8" s="2">
        <f>Data!L180</f>
        <v>116558.04</v>
      </c>
      <c r="E8" s="2">
        <f>E7+D8</f>
        <v>557214.88</v>
      </c>
      <c r="F8" s="3">
        <f>E8/$E$201</f>
        <v>4.1364406521634242E-2</v>
      </c>
      <c r="G8" s="22" t="str">
        <f>IF(F8&lt;=70%,"A",IF(F8&lt;=90%,"B","C"))</f>
        <v>A</v>
      </c>
    </row>
    <row r="9" spans="1:12" x14ac:dyDescent="0.3">
      <c r="A9" t="str">
        <f>Data!A3</f>
        <v>ELE0002</v>
      </c>
      <c r="B9" t="str">
        <f>Data!B3</f>
        <v>Electronics Item 2</v>
      </c>
      <c r="C9" t="str">
        <f>Data!C3</f>
        <v>Category C</v>
      </c>
      <c r="D9" s="2">
        <f>Data!L3</f>
        <v>131568.39000000001</v>
      </c>
      <c r="E9" s="2">
        <f>E8+D9</f>
        <v>688783.27</v>
      </c>
      <c r="F9" s="3">
        <f>E9/$E$201</f>
        <v>5.1131282038951578E-2</v>
      </c>
      <c r="G9" s="22" t="str">
        <f>IF(F9&lt;=70%,"A",IF(F9&lt;=90%,"B","C"))</f>
        <v>A</v>
      </c>
    </row>
    <row r="10" spans="1:12" x14ac:dyDescent="0.3">
      <c r="A10" t="str">
        <f>Data!A184</f>
        <v>ELE0183</v>
      </c>
      <c r="B10" t="str">
        <f>Data!B184</f>
        <v>Electronics Item 183</v>
      </c>
      <c r="C10" t="str">
        <f>Data!C184</f>
        <v>Category B</v>
      </c>
      <c r="D10" s="2">
        <f>Data!L184</f>
        <v>198615.76</v>
      </c>
      <c r="E10" s="2">
        <f>E9+D10</f>
        <v>887399.03</v>
      </c>
      <c r="F10" s="3">
        <f>E10/$E$201</f>
        <v>6.5875366113381434E-2</v>
      </c>
      <c r="G10" s="22" t="str">
        <f>IF(F10&lt;=70%,"A",IF(F10&lt;=90%,"B","C"))</f>
        <v>A</v>
      </c>
    </row>
    <row r="11" spans="1:12" x14ac:dyDescent="0.3">
      <c r="A11" t="str">
        <f>Data!A168</f>
        <v>ELE0167</v>
      </c>
      <c r="B11" t="str">
        <f>Data!B168</f>
        <v>Electronics Item 167</v>
      </c>
      <c r="C11" t="str">
        <f>Data!C168</f>
        <v>Category A</v>
      </c>
      <c r="D11" s="2">
        <f>Data!L168</f>
        <v>78351.88</v>
      </c>
      <c r="E11" s="2">
        <f>E10+D11</f>
        <v>965750.91</v>
      </c>
      <c r="F11" s="3">
        <f>E11/$E$201</f>
        <v>7.1691756041902907E-2</v>
      </c>
      <c r="G11" s="22" t="str">
        <f>IF(F11&lt;=70%,"A",IF(F11&lt;=90%,"B","C"))</f>
        <v>A</v>
      </c>
    </row>
    <row r="12" spans="1:12" x14ac:dyDescent="0.3">
      <c r="A12" t="str">
        <f>Data!A21</f>
        <v>ELE0020</v>
      </c>
      <c r="B12" t="str">
        <f>Data!B21</f>
        <v>Electronics Item 20</v>
      </c>
      <c r="C12" t="str">
        <f>Data!C21</f>
        <v>Category B</v>
      </c>
      <c r="D12" s="2">
        <f>Data!L21</f>
        <v>27320.02</v>
      </c>
      <c r="E12" s="2">
        <f>E11+D12</f>
        <v>993070.93</v>
      </c>
      <c r="F12" s="3">
        <f>E12/$E$201</f>
        <v>7.3719836148915086E-2</v>
      </c>
      <c r="G12" s="22" t="str">
        <f>IF(F12&lt;=70%,"A",IF(F12&lt;=90%,"B","C"))</f>
        <v>A</v>
      </c>
    </row>
    <row r="13" spans="1:12" x14ac:dyDescent="0.3">
      <c r="A13" t="str">
        <f>Data!A119</f>
        <v>ELE0118</v>
      </c>
      <c r="B13" t="str">
        <f>Data!B119</f>
        <v>Electronics Item 118</v>
      </c>
      <c r="C13" t="str">
        <f>Data!C119</f>
        <v>Category B</v>
      </c>
      <c r="D13" s="2">
        <f>Data!L119</f>
        <v>24987.63</v>
      </c>
      <c r="E13" s="2">
        <f>E12+D13</f>
        <v>1018058.56</v>
      </c>
      <c r="F13" s="3">
        <f>E13/$E$201</f>
        <v>7.5574773126427575E-2</v>
      </c>
      <c r="G13" s="22" t="str">
        <f>IF(F13&lt;=70%,"A",IF(F13&lt;=90%,"B","C"))</f>
        <v>A</v>
      </c>
    </row>
    <row r="14" spans="1:12" x14ac:dyDescent="0.3">
      <c r="A14" t="str">
        <f>Data!A90</f>
        <v>ELE0089</v>
      </c>
      <c r="B14" t="str">
        <f>Data!B90</f>
        <v>Electronics Item 89</v>
      </c>
      <c r="C14" t="str">
        <f>Data!C90</f>
        <v>Category C</v>
      </c>
      <c r="D14" s="2">
        <f>Data!L90</f>
        <v>69845.52</v>
      </c>
      <c r="E14" s="2">
        <f>E13+D14</f>
        <v>1087904.08</v>
      </c>
      <c r="F14" s="3">
        <f>E14/$E$201</f>
        <v>8.0759700138776813E-2</v>
      </c>
      <c r="G14" s="22" t="str">
        <f>IF(F14&lt;=70%,"A",IF(F14&lt;=90%,"B","C"))</f>
        <v>A</v>
      </c>
    </row>
    <row r="15" spans="1:12" x14ac:dyDescent="0.3">
      <c r="A15" t="str">
        <f>Data!A118</f>
        <v>ELE0117</v>
      </c>
      <c r="B15" t="str">
        <f>Data!B118</f>
        <v>Electronics Item 117</v>
      </c>
      <c r="C15" t="str">
        <f>Data!C118</f>
        <v>Category B</v>
      </c>
      <c r="D15" s="2">
        <f>Data!L118</f>
        <v>38468.720000000001</v>
      </c>
      <c r="E15" s="2">
        <f>E14+D15</f>
        <v>1126372.8</v>
      </c>
      <c r="F15" s="3">
        <f>E15/$E$201</f>
        <v>8.3615395184908597E-2</v>
      </c>
      <c r="G15" s="22" t="str">
        <f>IF(F15&lt;=70%,"A",IF(F15&lt;=90%,"B","C"))</f>
        <v>A</v>
      </c>
    </row>
    <row r="16" spans="1:12" x14ac:dyDescent="0.3">
      <c r="A16" t="str">
        <f>Data!A174</f>
        <v>ELE0173</v>
      </c>
      <c r="B16" t="str">
        <f>Data!B174</f>
        <v>Electronics Item 173</v>
      </c>
      <c r="C16" t="str">
        <f>Data!C174</f>
        <v>Category B</v>
      </c>
      <c r="D16" s="2">
        <f>Data!L174</f>
        <v>89623.38</v>
      </c>
      <c r="E16" s="2">
        <f>E15+D16</f>
        <v>1215996.1800000002</v>
      </c>
      <c r="F16" s="3">
        <f>E16/$E$201</f>
        <v>9.0268516013560757E-2</v>
      </c>
      <c r="G16" s="22" t="str">
        <f>IF(F16&lt;=70%,"A",IF(F16&lt;=90%,"B","C"))</f>
        <v>A</v>
      </c>
    </row>
    <row r="17" spans="1:12" x14ac:dyDescent="0.3">
      <c r="A17" t="str">
        <f>Data!A129</f>
        <v>ELE0128</v>
      </c>
      <c r="B17" t="str">
        <f>Data!B129</f>
        <v>Electronics Item 128</v>
      </c>
      <c r="C17" t="str">
        <f>Data!C129</f>
        <v>Category A</v>
      </c>
      <c r="D17" s="2">
        <f>Data!L129</f>
        <v>25169.52</v>
      </c>
      <c r="E17" s="2">
        <f>E16+D17</f>
        <v>1241165.7000000002</v>
      </c>
      <c r="F17" s="3">
        <f>E17/$E$201</f>
        <v>9.2136955451564279E-2</v>
      </c>
      <c r="G17" s="22" t="str">
        <f>IF(F17&lt;=70%,"A",IF(F17&lt;=90%,"B","C"))</f>
        <v>A</v>
      </c>
    </row>
    <row r="18" spans="1:12" x14ac:dyDescent="0.3">
      <c r="A18" t="str">
        <f>Data!A128</f>
        <v>ELE0127</v>
      </c>
      <c r="B18" t="str">
        <f>Data!B128</f>
        <v>Electronics Item 127</v>
      </c>
      <c r="C18" t="str">
        <f>Data!C128</f>
        <v>Category A</v>
      </c>
      <c r="D18" s="2">
        <f>Data!L128</f>
        <v>9250.0400000000009</v>
      </c>
      <c r="E18" s="2">
        <f>E17+D18</f>
        <v>1250415.7400000002</v>
      </c>
      <c r="F18" s="3">
        <f>E18/$E$201</f>
        <v>9.2823624865168916E-2</v>
      </c>
      <c r="G18" s="22" t="str">
        <f>IF(F18&lt;=70%,"A",IF(F18&lt;=90%,"B","C"))</f>
        <v>A</v>
      </c>
    </row>
    <row r="19" spans="1:12" x14ac:dyDescent="0.3">
      <c r="A19" t="str">
        <f>Data!A193</f>
        <v>ELE0192</v>
      </c>
      <c r="B19" t="str">
        <f>Data!B193</f>
        <v>Electronics Item 192</v>
      </c>
      <c r="C19" t="str">
        <f>Data!C193</f>
        <v>Category A</v>
      </c>
      <c r="D19" s="2">
        <f>Data!L193</f>
        <v>4922.46</v>
      </c>
      <c r="E19" s="2">
        <f>E18+D19</f>
        <v>1255338.2000000002</v>
      </c>
      <c r="F19" s="3">
        <f>E19/$E$201</f>
        <v>9.3189039795449471E-2</v>
      </c>
      <c r="G19" s="22" t="str">
        <f>IF(F19&lt;=70%,"A",IF(F19&lt;=90%,"B","C"))</f>
        <v>A</v>
      </c>
    </row>
    <row r="20" spans="1:12" x14ac:dyDescent="0.3">
      <c r="A20" t="str">
        <f>Data!A10</f>
        <v>ELE0009</v>
      </c>
      <c r="B20" t="str">
        <f>Data!B10</f>
        <v>Electronics Item 9</v>
      </c>
      <c r="C20" t="str">
        <f>Data!C10</f>
        <v>Category A</v>
      </c>
      <c r="D20" s="2">
        <f>Data!L10</f>
        <v>46526.400000000001</v>
      </c>
      <c r="E20" s="2">
        <f>E19+D20</f>
        <v>1301864.6000000001</v>
      </c>
      <c r="F20" s="3">
        <f>E20/$E$201</f>
        <v>9.6642890352326483E-2</v>
      </c>
      <c r="G20" s="22" t="str">
        <f>IF(F20&lt;=70%,"A",IF(F20&lt;=90%,"B","C"))</f>
        <v>A</v>
      </c>
    </row>
    <row r="21" spans="1:12" x14ac:dyDescent="0.3">
      <c r="A21" t="str">
        <f>Data!A73</f>
        <v>ELE0072</v>
      </c>
      <c r="B21" t="str">
        <f>Data!B73</f>
        <v>Electronics Item 72</v>
      </c>
      <c r="C21" t="str">
        <f>Data!C73</f>
        <v>Category B</v>
      </c>
      <c r="D21" s="2">
        <f>Data!L73</f>
        <v>7349.58</v>
      </c>
      <c r="E21" s="2">
        <f>E20+D21</f>
        <v>1309214.1800000002</v>
      </c>
      <c r="F21" s="3">
        <f>E21/$E$201</f>
        <v>9.7188480618837808E-2</v>
      </c>
      <c r="G21" s="22" t="str">
        <f>IF(F21&lt;=70%,"A",IF(F21&lt;=90%,"B","C"))</f>
        <v>A</v>
      </c>
    </row>
    <row r="22" spans="1:12" x14ac:dyDescent="0.3">
      <c r="A22" t="str">
        <f>Data!A116</f>
        <v>ELE0115</v>
      </c>
      <c r="B22" t="str">
        <f>Data!B116</f>
        <v>Electronics Item 115</v>
      </c>
      <c r="C22" t="str">
        <f>Data!C116</f>
        <v>Category C</v>
      </c>
      <c r="D22" s="2">
        <f>Data!L116</f>
        <v>106288.84</v>
      </c>
      <c r="E22" s="2">
        <f>E21+D22</f>
        <v>1415503.0200000003</v>
      </c>
      <c r="F22" s="3">
        <f>E22/$E$201</f>
        <v>0.10507874870800467</v>
      </c>
      <c r="G22" s="22" t="str">
        <f>IF(F22&lt;=70%,"A",IF(F22&lt;=90%,"B","C"))</f>
        <v>A</v>
      </c>
    </row>
    <row r="23" spans="1:12" x14ac:dyDescent="0.3">
      <c r="A23" t="str">
        <f>Data!A132</f>
        <v>ELE0131</v>
      </c>
      <c r="B23" t="str">
        <f>Data!B132</f>
        <v>Electronics Item 131</v>
      </c>
      <c r="C23" t="str">
        <f>Data!C132</f>
        <v>Category B</v>
      </c>
      <c r="D23" s="2">
        <f>Data!L132</f>
        <v>8544.33</v>
      </c>
      <c r="E23" s="2">
        <f>E22+D23</f>
        <v>1424047.3500000003</v>
      </c>
      <c r="F23" s="3">
        <f>E23/$E$201</f>
        <v>0.10571303029713774</v>
      </c>
      <c r="G23" s="22" t="str">
        <f>IF(F23&lt;=70%,"A",IF(F23&lt;=90%,"B","C"))</f>
        <v>A</v>
      </c>
    </row>
    <row r="24" spans="1:12" x14ac:dyDescent="0.3">
      <c r="A24" t="str">
        <f>Data!A89</f>
        <v>ELE0088</v>
      </c>
      <c r="B24" t="str">
        <f>Data!B89</f>
        <v>Electronics Item 88</v>
      </c>
      <c r="C24" t="str">
        <f>Data!C89</f>
        <v>Category C</v>
      </c>
      <c r="D24" s="2">
        <f>Data!L89</f>
        <v>26165.1</v>
      </c>
      <c r="E24" s="2">
        <f>E23+D24</f>
        <v>1450212.4500000004</v>
      </c>
      <c r="F24" s="3">
        <f>E24/$E$201</f>
        <v>0.10765537583011996</v>
      </c>
      <c r="G24" s="22" t="str">
        <f>IF(F24&lt;=70%,"A",IF(F24&lt;=90%,"B","C"))</f>
        <v>A</v>
      </c>
    </row>
    <row r="25" spans="1:12" x14ac:dyDescent="0.3">
      <c r="A25" t="str">
        <f>Data!A108</f>
        <v>ELE0107</v>
      </c>
      <c r="B25" t="str">
        <f>Data!B108</f>
        <v>Electronics Item 107</v>
      </c>
      <c r="C25" t="str">
        <f>Data!C108</f>
        <v>Category B</v>
      </c>
      <c r="D25" s="2">
        <f>Data!L108</f>
        <v>116419.05</v>
      </c>
      <c r="E25" s="2">
        <f>E24+D25</f>
        <v>1566631.5000000005</v>
      </c>
      <c r="F25" s="3">
        <f>E25/$E$201</f>
        <v>0.11629765205767235</v>
      </c>
      <c r="G25" s="22" t="str">
        <f>IF(F25&lt;=70%,"A",IF(F25&lt;=90%,"B","C"))</f>
        <v>A</v>
      </c>
    </row>
    <row r="26" spans="1:12" x14ac:dyDescent="0.3">
      <c r="A26" t="str">
        <f>Data!A44</f>
        <v>ELE0043</v>
      </c>
      <c r="B26" t="str">
        <f>Data!B44</f>
        <v>Electronics Item 43</v>
      </c>
      <c r="C26" t="str">
        <f>Data!C44</f>
        <v>Category A</v>
      </c>
      <c r="D26" s="2">
        <f>Data!L44</f>
        <v>28586.400000000001</v>
      </c>
      <c r="E26" s="2">
        <f>E25+D26</f>
        <v>1595217.9000000004</v>
      </c>
      <c r="F26" s="3">
        <f>E26/$E$201</f>
        <v>0.11841974088378203</v>
      </c>
      <c r="G26" s="22" t="str">
        <f>IF(F26&lt;=70%,"A",IF(F26&lt;=90%,"B","C"))</f>
        <v>A</v>
      </c>
    </row>
    <row r="27" spans="1:12" x14ac:dyDescent="0.3">
      <c r="A27" t="str">
        <f>Data!A111</f>
        <v>ELE0110</v>
      </c>
      <c r="B27" t="str">
        <f>Data!B111</f>
        <v>Electronics Item 110</v>
      </c>
      <c r="C27" t="str">
        <f>Data!C111</f>
        <v>Category C</v>
      </c>
      <c r="D27" s="2">
        <f>Data!L111</f>
        <v>33087.99</v>
      </c>
      <c r="E27" s="2">
        <f>E26+D27</f>
        <v>1628305.8900000004</v>
      </c>
      <c r="F27" s="3">
        <f>E27/$E$201</f>
        <v>0.12087600168813055</v>
      </c>
      <c r="G27" s="22" t="str">
        <f>IF(F27&lt;=70%,"A",IF(F27&lt;=90%,"B","C"))</f>
        <v>A</v>
      </c>
    </row>
    <row r="28" spans="1:12" x14ac:dyDescent="0.3">
      <c r="A28" t="str">
        <f>Data!A165</f>
        <v>ELE0164</v>
      </c>
      <c r="B28" t="str">
        <f>Data!B165</f>
        <v>Electronics Item 164</v>
      </c>
      <c r="C28" t="str">
        <f>Data!C165</f>
        <v>Category B</v>
      </c>
      <c r="D28" s="2">
        <f>Data!L165</f>
        <v>25683.24</v>
      </c>
      <c r="E28" s="2">
        <f>E27+D28</f>
        <v>1653989.1300000004</v>
      </c>
      <c r="F28" s="3">
        <f>E28/$E$201</f>
        <v>0.12278257672459171</v>
      </c>
      <c r="G28" s="22" t="str">
        <f>IF(F28&lt;=70%,"A",IF(F28&lt;=90%,"B","C"))</f>
        <v>A</v>
      </c>
    </row>
    <row r="29" spans="1:12" x14ac:dyDescent="0.3">
      <c r="A29" t="str">
        <f>Data!A99</f>
        <v>ELE0098</v>
      </c>
      <c r="B29" t="str">
        <f>Data!B99</f>
        <v>Electronics Item 98</v>
      </c>
      <c r="C29" t="str">
        <f>Data!C99</f>
        <v>Category A</v>
      </c>
      <c r="D29" s="2">
        <f>Data!L99</f>
        <v>36285.9</v>
      </c>
      <c r="E29" s="2">
        <f>E28+D29</f>
        <v>1690275.0300000003</v>
      </c>
      <c r="F29" s="3">
        <f>E29/$E$201</f>
        <v>0.12547623185204157</v>
      </c>
      <c r="G29" s="22" t="str">
        <f>IF(F29&lt;=70%,"A",IF(F29&lt;=90%,"B","C"))</f>
        <v>A</v>
      </c>
      <c r="I29" s="19" t="s">
        <v>471</v>
      </c>
      <c r="J29" s="19" t="s">
        <v>493</v>
      </c>
      <c r="K29" s="20"/>
      <c r="L29" s="20"/>
    </row>
    <row r="30" spans="1:12" x14ac:dyDescent="0.3">
      <c r="A30" t="str">
        <f>Data!A188</f>
        <v>ELE0187</v>
      </c>
      <c r="B30" t="str">
        <f>Data!B188</f>
        <v>Electronics Item 187</v>
      </c>
      <c r="C30" t="str">
        <f>Data!C188</f>
        <v>Category A</v>
      </c>
      <c r="D30" s="2">
        <f>Data!L188</f>
        <v>79196.75</v>
      </c>
      <c r="E30" s="2">
        <f>E29+D30</f>
        <v>1769471.7800000003</v>
      </c>
      <c r="F30" s="3">
        <f>E30/$E$201</f>
        <v>0.13135534003772434</v>
      </c>
      <c r="G30" s="22" t="str">
        <f>IF(F30&lt;=70%,"A",IF(F30&lt;=90%,"B","C"))</f>
        <v>A</v>
      </c>
      <c r="I30" s="19" t="s">
        <v>477</v>
      </c>
      <c r="J30" s="20" t="s">
        <v>19</v>
      </c>
      <c r="K30" s="20" t="s">
        <v>26</v>
      </c>
      <c r="L30" s="20" t="s">
        <v>478</v>
      </c>
    </row>
    <row r="31" spans="1:12" x14ac:dyDescent="0.3">
      <c r="A31" t="str">
        <f>Data!A141</f>
        <v>ELE0140</v>
      </c>
      <c r="B31" t="str">
        <f>Data!B141</f>
        <v>Electronics Item 140</v>
      </c>
      <c r="C31" t="str">
        <f>Data!C141</f>
        <v>Category A</v>
      </c>
      <c r="D31" s="2">
        <f>Data!L141</f>
        <v>74973.119999999995</v>
      </c>
      <c r="E31" s="2">
        <f>E30+D31</f>
        <v>1844444.9000000004</v>
      </c>
      <c r="F31" s="3">
        <f>E31/$E$201</f>
        <v>0.13692091038623203</v>
      </c>
      <c r="G31" s="22" t="str">
        <f>IF(F31&lt;=70%,"A",IF(F31&lt;=90%,"B","C"))</f>
        <v>A</v>
      </c>
      <c r="I31" s="21" t="s">
        <v>23</v>
      </c>
      <c r="J31" s="20">
        <v>360742.75</v>
      </c>
      <c r="K31" s="20">
        <v>4394495.709999999</v>
      </c>
      <c r="L31" s="20">
        <v>4755238.459999999</v>
      </c>
    </row>
    <row r="32" spans="1:12" x14ac:dyDescent="0.3">
      <c r="A32" t="str">
        <f>Data!A7</f>
        <v>ELE0006</v>
      </c>
      <c r="B32" t="str">
        <f>Data!B7</f>
        <v>Electronics Item 6</v>
      </c>
      <c r="C32" t="str">
        <f>Data!C7</f>
        <v>Category B</v>
      </c>
      <c r="D32" s="2">
        <f>Data!L7</f>
        <v>32216.3</v>
      </c>
      <c r="E32" s="2">
        <f>E31+D32</f>
        <v>1876661.2000000004</v>
      </c>
      <c r="F32" s="3">
        <f>E32/$E$201</f>
        <v>0.13931246197190203</v>
      </c>
      <c r="G32" s="22" t="str">
        <f>IF(F32&lt;=70%,"A",IF(F32&lt;=90%,"B","C"))</f>
        <v>A</v>
      </c>
      <c r="I32" s="21" t="s">
        <v>42</v>
      </c>
      <c r="J32" s="20">
        <v>191371.6</v>
      </c>
      <c r="K32" s="20">
        <v>3712599.2100000004</v>
      </c>
      <c r="L32" s="20">
        <v>3903970.8100000005</v>
      </c>
    </row>
    <row r="33" spans="1:12" x14ac:dyDescent="0.3">
      <c r="A33" t="str">
        <f>Data!A9</f>
        <v>ELE0008</v>
      </c>
      <c r="B33" t="str">
        <f>Data!B9</f>
        <v>Electronics Item 8</v>
      </c>
      <c r="C33" t="str">
        <f>Data!C9</f>
        <v>Category B</v>
      </c>
      <c r="D33" s="2">
        <f>Data!L9</f>
        <v>103574.69</v>
      </c>
      <c r="E33" s="2">
        <f>E32+D33</f>
        <v>1980235.8900000004</v>
      </c>
      <c r="F33" s="3">
        <f>E33/$E$201</f>
        <v>0.14700124727948793</v>
      </c>
      <c r="G33" s="22" t="str">
        <f>IF(F33&lt;=70%,"A",IF(F33&lt;=90%,"B","C"))</f>
        <v>A</v>
      </c>
      <c r="I33" s="21" t="s">
        <v>16</v>
      </c>
      <c r="J33" s="20">
        <v>478511.62</v>
      </c>
      <c r="K33" s="20">
        <v>3236788.5400000005</v>
      </c>
      <c r="L33" s="20">
        <v>3715300.1600000006</v>
      </c>
    </row>
    <row r="34" spans="1:12" x14ac:dyDescent="0.3">
      <c r="A34" t="str">
        <f>Data!A195</f>
        <v>ELE0194</v>
      </c>
      <c r="B34" t="str">
        <f>Data!B195</f>
        <v>Electronics Item 194</v>
      </c>
      <c r="C34" t="str">
        <f>Data!C195</f>
        <v>Category C</v>
      </c>
      <c r="D34" s="2">
        <f>Data!L195</f>
        <v>84624.9</v>
      </c>
      <c r="E34" s="2">
        <f>E33+D34</f>
        <v>2064860.7900000003</v>
      </c>
      <c r="F34" s="3">
        <f>E34/$E$201</f>
        <v>0.15328330989320108</v>
      </c>
      <c r="G34" s="22" t="str">
        <f>IF(F34&lt;=70%,"A",IF(F34&lt;=90%,"B","C"))</f>
        <v>A</v>
      </c>
      <c r="I34" s="21" t="s">
        <v>478</v>
      </c>
      <c r="J34" s="20">
        <v>1030625.97</v>
      </c>
      <c r="K34" s="20">
        <v>11343883.460000001</v>
      </c>
      <c r="L34" s="20">
        <v>12374509.43</v>
      </c>
    </row>
    <row r="35" spans="1:12" x14ac:dyDescent="0.3">
      <c r="A35" t="str">
        <f>Data!A102</f>
        <v>ELE0101</v>
      </c>
      <c r="B35" t="str">
        <f>Data!B102</f>
        <v>Electronics Item 101</v>
      </c>
      <c r="C35" t="str">
        <f>Data!C102</f>
        <v>Category A</v>
      </c>
      <c r="D35" s="2">
        <f>Data!L102</f>
        <v>3752.84</v>
      </c>
      <c r="E35" s="2">
        <f>E34+D35</f>
        <v>2068613.6300000004</v>
      </c>
      <c r="F35" s="3">
        <f>E35/$E$201</f>
        <v>0.15356189900656189</v>
      </c>
      <c r="G35" s="22" t="str">
        <f>IF(F35&lt;=70%,"A",IF(F35&lt;=90%,"B","C"))</f>
        <v>A</v>
      </c>
    </row>
    <row r="36" spans="1:12" x14ac:dyDescent="0.3">
      <c r="A36" t="str">
        <f>Data!A172</f>
        <v>ELE0171</v>
      </c>
      <c r="B36" t="str">
        <f>Data!B172</f>
        <v>Electronics Item 171</v>
      </c>
      <c r="C36" t="str">
        <f>Data!C172</f>
        <v>Category C</v>
      </c>
      <c r="D36" s="2">
        <f>Data!L172</f>
        <v>144153.9</v>
      </c>
      <c r="E36" s="2">
        <f>E35+D36</f>
        <v>2212767.5300000003</v>
      </c>
      <c r="F36" s="3">
        <f>E36/$E$201</f>
        <v>0.16426304991853863</v>
      </c>
      <c r="G36" s="22" t="str">
        <f>IF(F36&lt;=70%,"A",IF(F36&lt;=90%,"B","C"))</f>
        <v>A</v>
      </c>
    </row>
    <row r="37" spans="1:12" x14ac:dyDescent="0.3">
      <c r="A37" t="str">
        <f>Data!A12</f>
        <v>ELE0011</v>
      </c>
      <c r="B37" t="str">
        <f>Data!B12</f>
        <v>Electronics Item 11</v>
      </c>
      <c r="C37" t="str">
        <f>Data!C12</f>
        <v>Category A</v>
      </c>
      <c r="D37" s="2">
        <f>Data!L12</f>
        <v>48588.32</v>
      </c>
      <c r="E37" s="2">
        <f>E36+D37</f>
        <v>2261355.85</v>
      </c>
      <c r="F37" s="3">
        <f>E37/$E$201</f>
        <v>0.16786996547808586</v>
      </c>
      <c r="G37" s="22" t="str">
        <f>IF(F37&lt;=70%,"A",IF(F37&lt;=90%,"B","C"))</f>
        <v>A</v>
      </c>
    </row>
    <row r="38" spans="1:12" x14ac:dyDescent="0.3">
      <c r="A38" t="str">
        <f>Data!A191</f>
        <v>ELE0190</v>
      </c>
      <c r="B38" t="str">
        <f>Data!B191</f>
        <v>Electronics Item 190</v>
      </c>
      <c r="C38" t="str">
        <f>Data!C191</f>
        <v>Category A</v>
      </c>
      <c r="D38" s="2">
        <f>Data!L191</f>
        <v>183410.5</v>
      </c>
      <c r="E38" s="2">
        <f>E37+D38</f>
        <v>2444766.35</v>
      </c>
      <c r="F38" s="3">
        <f>E38/$E$201</f>
        <v>0.18148529908571706</v>
      </c>
      <c r="G38" s="22" t="str">
        <f>IF(F38&lt;=70%,"A",IF(F38&lt;=90%,"B","C"))</f>
        <v>A</v>
      </c>
      <c r="I38" s="6" t="s">
        <v>500</v>
      </c>
      <c r="J38" s="6" t="s">
        <v>493</v>
      </c>
    </row>
    <row r="39" spans="1:12" x14ac:dyDescent="0.3">
      <c r="A39" t="str">
        <f>Data!A135</f>
        <v>ELE0134</v>
      </c>
      <c r="B39" t="str">
        <f>Data!B135</f>
        <v>Electronics Item 134</v>
      </c>
      <c r="C39" t="str">
        <f>Data!C135</f>
        <v>Category B</v>
      </c>
      <c r="D39" s="2">
        <f>Data!L135</f>
        <v>24161.25</v>
      </c>
      <c r="E39" s="2">
        <f>E38+D39</f>
        <v>2468927.6</v>
      </c>
      <c r="F39" s="3">
        <f>E39/$E$201</f>
        <v>0.18327889039661466</v>
      </c>
      <c r="G39" s="22" t="str">
        <f>IF(F39&lt;=70%,"A",IF(F39&lt;=90%,"B","C"))</f>
        <v>A</v>
      </c>
      <c r="I39" s="6" t="s">
        <v>477</v>
      </c>
      <c r="J39" t="s">
        <v>19</v>
      </c>
      <c r="K39" t="s">
        <v>26</v>
      </c>
      <c r="L39" t="s">
        <v>478</v>
      </c>
    </row>
    <row r="40" spans="1:12" x14ac:dyDescent="0.3">
      <c r="A40" t="str">
        <f>Data!A138</f>
        <v>ELE0137</v>
      </c>
      <c r="B40" t="str">
        <f>Data!B138</f>
        <v>Electronics Item 137</v>
      </c>
      <c r="C40" t="str">
        <f>Data!C138</f>
        <v>Category A</v>
      </c>
      <c r="D40" s="2">
        <f>Data!L138</f>
        <v>36727.68</v>
      </c>
      <c r="E40" s="2">
        <f>E39+D40</f>
        <v>2505655.2800000003</v>
      </c>
      <c r="F40" s="3">
        <f>E40/$E$201</f>
        <v>0.18600534071344127</v>
      </c>
      <c r="G40" s="22" t="str">
        <f>IF(F40&lt;=70%,"A",IF(F40&lt;=90%,"B","C"))</f>
        <v>A</v>
      </c>
      <c r="I40" s="7" t="s">
        <v>34</v>
      </c>
      <c r="J40" s="5">
        <v>353318.22</v>
      </c>
      <c r="K40" s="5">
        <v>4666369.3800000018</v>
      </c>
      <c r="L40" s="5">
        <v>5019687.6000000015</v>
      </c>
    </row>
    <row r="41" spans="1:12" x14ac:dyDescent="0.3">
      <c r="A41" t="str">
        <f>Data!A183</f>
        <v>ELE0182</v>
      </c>
      <c r="B41" t="str">
        <f>Data!B183</f>
        <v>Electronics Item 182</v>
      </c>
      <c r="C41" t="str">
        <f>Data!C183</f>
        <v>Category C</v>
      </c>
      <c r="D41" s="2">
        <f>Data!L183</f>
        <v>2958.27</v>
      </c>
      <c r="E41" s="2">
        <f>E40+D41</f>
        <v>2508613.5500000003</v>
      </c>
      <c r="F41" s="3">
        <f>E41/$E$201</f>
        <v>0.18622494555041322</v>
      </c>
      <c r="G41" s="22" t="str">
        <f>IF(F41&lt;=70%,"A",IF(F41&lt;=90%,"B","C"))</f>
        <v>A</v>
      </c>
      <c r="I41" s="7" t="s">
        <v>24</v>
      </c>
      <c r="J41" s="5">
        <v>357456.9</v>
      </c>
      <c r="K41" s="5">
        <v>3406713.0099999993</v>
      </c>
      <c r="L41" s="5">
        <v>3764169.9099999992</v>
      </c>
    </row>
    <row r="42" spans="1:12" x14ac:dyDescent="0.3">
      <c r="A42" t="str">
        <f>Data!A27</f>
        <v>ELE0026</v>
      </c>
      <c r="B42" t="str">
        <f>Data!B27</f>
        <v>Electronics Item 26</v>
      </c>
      <c r="C42" t="str">
        <f>Data!C27</f>
        <v>Category A</v>
      </c>
      <c r="D42" s="2">
        <f>Data!L27</f>
        <v>144710.39999999999</v>
      </c>
      <c r="E42" s="2">
        <f>E41+D42</f>
        <v>2653323.9500000002</v>
      </c>
      <c r="F42" s="3">
        <f>E42/$E$201</f>
        <v>0.19696740780035943</v>
      </c>
      <c r="G42" s="22" t="str">
        <f>IF(F42&lt;=70%,"A",IF(F42&lt;=90%,"B","C"))</f>
        <v>A</v>
      </c>
      <c r="I42" s="7" t="s">
        <v>17</v>
      </c>
      <c r="J42" s="5">
        <v>319850.85000000003</v>
      </c>
      <c r="K42" s="5">
        <v>3270801.0700000008</v>
      </c>
      <c r="L42" s="5">
        <v>3590651.9200000009</v>
      </c>
    </row>
    <row r="43" spans="1:12" x14ac:dyDescent="0.3">
      <c r="A43" t="str">
        <f>Data!A40</f>
        <v>ELE0039</v>
      </c>
      <c r="B43" t="str">
        <f>Data!B40</f>
        <v>Electronics Item 39</v>
      </c>
      <c r="C43" t="str">
        <f>Data!C40</f>
        <v>Category A</v>
      </c>
      <c r="D43" s="2">
        <f>Data!L40</f>
        <v>153292.78</v>
      </c>
      <c r="E43" s="2">
        <f>E42+D43</f>
        <v>2806616.73</v>
      </c>
      <c r="F43" s="3">
        <f>E43/$E$201</f>
        <v>0.20834697625113632</v>
      </c>
      <c r="G43" s="22" t="str">
        <f>IF(F43&lt;=70%,"A",IF(F43&lt;=90%,"B","C"))</f>
        <v>A</v>
      </c>
      <c r="I43" s="7" t="s">
        <v>478</v>
      </c>
      <c r="J43" s="5">
        <v>1030625.97</v>
      </c>
      <c r="K43" s="5">
        <v>11343883.460000001</v>
      </c>
      <c r="L43" s="5">
        <v>12374509.430000003</v>
      </c>
    </row>
    <row r="44" spans="1:12" x14ac:dyDescent="0.3">
      <c r="A44" t="str">
        <f>Data!A56</f>
        <v>ELE0055</v>
      </c>
      <c r="B44" t="str">
        <f>Data!B56</f>
        <v>Electronics Item 55</v>
      </c>
      <c r="C44" t="str">
        <f>Data!C56</f>
        <v>Category C</v>
      </c>
      <c r="D44" s="2">
        <f>Data!L56</f>
        <v>16532.919999999998</v>
      </c>
      <c r="E44" s="2">
        <f>E43+D44</f>
        <v>2823149.65</v>
      </c>
      <c r="F44" s="3">
        <f>E44/$E$201</f>
        <v>0.20957428450943275</v>
      </c>
      <c r="G44" s="22" t="str">
        <f>IF(F44&lt;=70%,"A",IF(F44&lt;=90%,"B","C"))</f>
        <v>A</v>
      </c>
    </row>
    <row r="45" spans="1:12" x14ac:dyDescent="0.3">
      <c r="A45" t="str">
        <f>Data!A126</f>
        <v>ELE0125</v>
      </c>
      <c r="B45" t="str">
        <f>Data!B126</f>
        <v>Electronics Item 125</v>
      </c>
      <c r="C45" t="str">
        <f>Data!C126</f>
        <v>Category C</v>
      </c>
      <c r="D45" s="2">
        <f>Data!L126</f>
        <v>6931.44</v>
      </c>
      <c r="E45" s="2">
        <f>E44+D45</f>
        <v>2830081.09</v>
      </c>
      <c r="F45" s="3">
        <f>E45/$E$201</f>
        <v>0.21008883448329618</v>
      </c>
      <c r="G45" s="22" t="str">
        <f>IF(F45&lt;=70%,"A",IF(F45&lt;=90%,"B","C"))</f>
        <v>A</v>
      </c>
    </row>
    <row r="46" spans="1:12" x14ac:dyDescent="0.3">
      <c r="A46" t="str">
        <f>Data!A13</f>
        <v>ELE0012</v>
      </c>
      <c r="B46" t="str">
        <f>Data!B13</f>
        <v>Electronics Item 12</v>
      </c>
      <c r="C46" t="str">
        <f>Data!C13</f>
        <v>Category C</v>
      </c>
      <c r="D46" s="2">
        <f>Data!L13</f>
        <v>41230.800000000003</v>
      </c>
      <c r="E46" s="2">
        <f>E45+D46</f>
        <v>2871311.8899999997</v>
      </c>
      <c r="F46" s="3">
        <f>E46/$E$201</f>
        <v>0.21314957035670321</v>
      </c>
      <c r="G46" s="22" t="str">
        <f>IF(F46&lt;=70%,"A",IF(F46&lt;=90%,"B","C"))</f>
        <v>A</v>
      </c>
    </row>
    <row r="47" spans="1:12" x14ac:dyDescent="0.3">
      <c r="A47" t="str">
        <f>Data!A52</f>
        <v>ELE0051</v>
      </c>
      <c r="B47" t="str">
        <f>Data!B52</f>
        <v>Electronics Item 51</v>
      </c>
      <c r="C47" t="str">
        <f>Data!C52</f>
        <v>Category C</v>
      </c>
      <c r="D47" s="2">
        <f>Data!L52</f>
        <v>129547.36</v>
      </c>
      <c r="E47" s="2">
        <f>E46+D47</f>
        <v>3000859.2499999995</v>
      </c>
      <c r="F47" s="3">
        <f>E47/$E$201</f>
        <v>0.22276641630820487</v>
      </c>
      <c r="G47" s="22" t="str">
        <f>IF(F47&lt;=70%,"A",IF(F47&lt;=90%,"B","C"))</f>
        <v>A</v>
      </c>
    </row>
    <row r="48" spans="1:12" x14ac:dyDescent="0.3">
      <c r="A48" t="str">
        <f>Data!A37</f>
        <v>ELE0036</v>
      </c>
      <c r="B48" t="str">
        <f>Data!B37</f>
        <v>Electronics Item 36</v>
      </c>
      <c r="C48" t="str">
        <f>Data!C37</f>
        <v>Category B</v>
      </c>
      <c r="D48" s="2">
        <f>Data!L37</f>
        <v>110283.6</v>
      </c>
      <c r="E48" s="2">
        <f>E47+D48</f>
        <v>3111142.8499999996</v>
      </c>
      <c r="F48" s="3">
        <f>E48/$E$201</f>
        <v>0.23095323225086115</v>
      </c>
      <c r="G48" s="22" t="str">
        <f>IF(F48&lt;=70%,"A",IF(F48&lt;=90%,"B","C"))</f>
        <v>A</v>
      </c>
    </row>
    <row r="49" spans="1:7" x14ac:dyDescent="0.3">
      <c r="A49" t="str">
        <f>Data!A122</f>
        <v>ELE0121</v>
      </c>
      <c r="B49" t="str">
        <f>Data!B122</f>
        <v>Electronics Item 121</v>
      </c>
      <c r="C49" t="str">
        <f>Data!C122</f>
        <v>Category A</v>
      </c>
      <c r="D49" s="2">
        <f>Data!L122</f>
        <v>77129</v>
      </c>
      <c r="E49" s="2">
        <f>E48+D49</f>
        <v>3188271.8499999996</v>
      </c>
      <c r="F49" s="3">
        <f>E49/$E$201</f>
        <v>0.23667884264842828</v>
      </c>
      <c r="G49" s="22" t="str">
        <f>IF(F49&lt;=70%,"A",IF(F49&lt;=90%,"B","C"))</f>
        <v>A</v>
      </c>
    </row>
    <row r="50" spans="1:7" x14ac:dyDescent="0.3">
      <c r="A50" t="str">
        <f>Data!A120</f>
        <v>ELE0119</v>
      </c>
      <c r="B50" t="str">
        <f>Data!B120</f>
        <v>Electronics Item 119</v>
      </c>
      <c r="C50" t="str">
        <f>Data!C120</f>
        <v>Category A</v>
      </c>
      <c r="D50" s="2">
        <f>Data!L120</f>
        <v>42858.36</v>
      </c>
      <c r="E50" s="2">
        <f>E49+D50</f>
        <v>3231130.2099999995</v>
      </c>
      <c r="F50" s="3">
        <f>E50/$E$201</f>
        <v>0.23986039915296842</v>
      </c>
      <c r="G50" s="22" t="str">
        <f>IF(F50&lt;=70%,"A",IF(F50&lt;=90%,"B","C"))</f>
        <v>A</v>
      </c>
    </row>
    <row r="51" spans="1:7" x14ac:dyDescent="0.3">
      <c r="A51" t="str">
        <f>Data!A82</f>
        <v>ELE0081</v>
      </c>
      <c r="B51" t="str">
        <f>Data!B82</f>
        <v>Electronics Item 81</v>
      </c>
      <c r="C51" t="str">
        <f>Data!C82</f>
        <v>Category C</v>
      </c>
      <c r="D51" s="2">
        <f>Data!L82</f>
        <v>91600.65</v>
      </c>
      <c r="E51" s="2">
        <f>E50+D51</f>
        <v>3322730.8599999994</v>
      </c>
      <c r="F51" s="3">
        <f>E51/$E$201</f>
        <v>0.2466603010583984</v>
      </c>
      <c r="G51" s="22" t="str">
        <f>IF(F51&lt;=70%,"A",IF(F51&lt;=90%,"B","C"))</f>
        <v>A</v>
      </c>
    </row>
    <row r="52" spans="1:7" x14ac:dyDescent="0.3">
      <c r="A52" t="str">
        <f>Data!A30</f>
        <v>ELE0029</v>
      </c>
      <c r="B52" t="str">
        <f>Data!B30</f>
        <v>Electronics Item 29</v>
      </c>
      <c r="C52" t="str">
        <f>Data!C30</f>
        <v>Category B</v>
      </c>
      <c r="D52" s="2">
        <f>Data!L30</f>
        <v>164370.43</v>
      </c>
      <c r="E52" s="2">
        <f>E51+D52</f>
        <v>3487101.2899999996</v>
      </c>
      <c r="F52" s="3">
        <f>E52/$E$201</f>
        <v>0.25886221010766108</v>
      </c>
      <c r="G52" s="22" t="str">
        <f>IF(F52&lt;=70%,"A",IF(F52&lt;=90%,"B","C"))</f>
        <v>A</v>
      </c>
    </row>
    <row r="53" spans="1:7" x14ac:dyDescent="0.3">
      <c r="A53" t="str">
        <f>Data!A131</f>
        <v>ELE0130</v>
      </c>
      <c r="B53" t="str">
        <f>Data!B131</f>
        <v>Electronics Item 130</v>
      </c>
      <c r="C53" t="str">
        <f>Data!C131</f>
        <v>Category B</v>
      </c>
      <c r="D53" s="2">
        <f>Data!L131</f>
        <v>71917.05</v>
      </c>
      <c r="E53" s="2">
        <f>E52+D53</f>
        <v>3559018.3399999994</v>
      </c>
      <c r="F53" s="3">
        <f>E53/$E$201</f>
        <v>0.26420091551344044</v>
      </c>
      <c r="G53" s="22" t="str">
        <f>IF(F53&lt;=70%,"A",IF(F53&lt;=90%,"B","C"))</f>
        <v>A</v>
      </c>
    </row>
    <row r="54" spans="1:7" x14ac:dyDescent="0.3">
      <c r="A54" t="str">
        <f>Data!A26</f>
        <v>ELE0025</v>
      </c>
      <c r="B54" t="str">
        <f>Data!B26</f>
        <v>Electronics Item 25</v>
      </c>
      <c r="C54" t="str">
        <f>Data!C26</f>
        <v>Category A</v>
      </c>
      <c r="D54" s="2">
        <f>Data!L26</f>
        <v>21697.54</v>
      </c>
      <c r="E54" s="2">
        <f>E53+D54</f>
        <v>3580715.8799999994</v>
      </c>
      <c r="F54" s="3">
        <f>E54/$E$201</f>
        <v>0.26581161525835645</v>
      </c>
      <c r="G54" s="22" t="str">
        <f>IF(F54&lt;=70%,"A",IF(F54&lt;=90%,"B","C"))</f>
        <v>A</v>
      </c>
    </row>
    <row r="55" spans="1:7" x14ac:dyDescent="0.3">
      <c r="A55" t="str">
        <f>Data!A24</f>
        <v>ELE0023</v>
      </c>
      <c r="B55" t="str">
        <f>Data!B24</f>
        <v>Electronics Item 23</v>
      </c>
      <c r="C55" t="str">
        <f>Data!C24</f>
        <v>Category C</v>
      </c>
      <c r="D55" s="2">
        <f>Data!L24</f>
        <v>13326.4</v>
      </c>
      <c r="E55" s="2">
        <f>E54+D55</f>
        <v>3594042.2799999993</v>
      </c>
      <c r="F55" s="3">
        <f>E55/$E$201</f>
        <v>0.26680089003700186</v>
      </c>
      <c r="G55" s="22" t="str">
        <f>IF(F55&lt;=70%,"A",IF(F55&lt;=90%,"B","C"))</f>
        <v>A</v>
      </c>
    </row>
    <row r="56" spans="1:7" x14ac:dyDescent="0.3">
      <c r="A56" t="str">
        <f>Data!A140</f>
        <v>ELE0139</v>
      </c>
      <c r="B56" t="str">
        <f>Data!B140</f>
        <v>Electronics Item 139</v>
      </c>
      <c r="C56" t="str">
        <f>Data!C140</f>
        <v>Category B</v>
      </c>
      <c r="D56" s="2">
        <f>Data!L140</f>
        <v>14844.87</v>
      </c>
      <c r="E56" s="2">
        <f>E55+D56</f>
        <v>3608887.1499999994</v>
      </c>
      <c r="F56" s="3">
        <f>E56/$E$201</f>
        <v>0.26790288723679095</v>
      </c>
      <c r="G56" s="22" t="str">
        <f>IF(F56&lt;=70%,"A",IF(F56&lt;=90%,"B","C"))</f>
        <v>A</v>
      </c>
    </row>
    <row r="57" spans="1:7" x14ac:dyDescent="0.3">
      <c r="A57" t="str">
        <f>Data!A201</f>
        <v>ELE0200</v>
      </c>
      <c r="B57" t="str">
        <f>Data!B201</f>
        <v>Electronics Item 200</v>
      </c>
      <c r="C57" t="str">
        <f>Data!C201</f>
        <v>Category A</v>
      </c>
      <c r="D57" s="2">
        <f>Data!L201</f>
        <v>40855.65</v>
      </c>
      <c r="E57" s="2">
        <f>E56+D57</f>
        <v>3649742.7999999993</v>
      </c>
      <c r="F57" s="3">
        <f>E57/$E$201</f>
        <v>0.27093577414624603</v>
      </c>
      <c r="G57" s="22" t="str">
        <f>IF(F57&lt;=70%,"A",IF(F57&lt;=90%,"B","C"))</f>
        <v>A</v>
      </c>
    </row>
    <row r="58" spans="1:7" x14ac:dyDescent="0.3">
      <c r="A58" t="str">
        <f>Data!A11</f>
        <v>ELE0010</v>
      </c>
      <c r="B58" t="str">
        <f>Data!B11</f>
        <v>Electronics Item 10</v>
      </c>
      <c r="C58" t="str">
        <f>Data!C11</f>
        <v>Category A</v>
      </c>
      <c r="D58" s="2">
        <f>Data!L11</f>
        <v>62077.68</v>
      </c>
      <c r="E58" s="2">
        <f>E57+D58</f>
        <v>3711820.4799999995</v>
      </c>
      <c r="F58" s="3">
        <f>E58/$E$201</f>
        <v>0.27554406169133089</v>
      </c>
      <c r="G58" s="22" t="str">
        <f>IF(F58&lt;=70%,"A",IF(F58&lt;=90%,"B","C"))</f>
        <v>A</v>
      </c>
    </row>
    <row r="59" spans="1:7" x14ac:dyDescent="0.3">
      <c r="A59" t="str">
        <f>Data!A139</f>
        <v>ELE0138</v>
      </c>
      <c r="B59" t="str">
        <f>Data!B139</f>
        <v>Electronics Item 138</v>
      </c>
      <c r="C59" t="str">
        <f>Data!C139</f>
        <v>Category B</v>
      </c>
      <c r="D59" s="2">
        <f>Data!L139</f>
        <v>53999.54</v>
      </c>
      <c r="E59" s="2">
        <f>E58+D59</f>
        <v>3765820.0199999996</v>
      </c>
      <c r="F59" s="3">
        <f>E59/$E$201</f>
        <v>0.27955267489372998</v>
      </c>
      <c r="G59" s="22" t="str">
        <f>IF(F59&lt;=70%,"A",IF(F59&lt;=90%,"B","C"))</f>
        <v>A</v>
      </c>
    </row>
    <row r="60" spans="1:7" x14ac:dyDescent="0.3">
      <c r="A60" t="str">
        <f>Data!A149</f>
        <v>ELE0148</v>
      </c>
      <c r="B60" t="str">
        <f>Data!B149</f>
        <v>Electronics Item 148</v>
      </c>
      <c r="C60" t="str">
        <f>Data!C149</f>
        <v>Category B</v>
      </c>
      <c r="D60" s="2">
        <f>Data!L149</f>
        <v>206473.68</v>
      </c>
      <c r="E60" s="2">
        <f>E59+D60</f>
        <v>3972293.6999999997</v>
      </c>
      <c r="F60" s="3">
        <f>E60/$E$201</f>
        <v>0.29488008545307798</v>
      </c>
      <c r="G60" s="22" t="str">
        <f>IF(F60&lt;=70%,"A",IF(F60&lt;=90%,"B","C"))</f>
        <v>A</v>
      </c>
    </row>
    <row r="61" spans="1:7" x14ac:dyDescent="0.3">
      <c r="A61" t="str">
        <f>Data!A103</f>
        <v>ELE0102</v>
      </c>
      <c r="B61" t="str">
        <f>Data!B103</f>
        <v>Electronics Item 102</v>
      </c>
      <c r="C61" t="str">
        <f>Data!C103</f>
        <v>Category B</v>
      </c>
      <c r="D61" s="2">
        <f>Data!L103</f>
        <v>22393.08</v>
      </c>
      <c r="E61" s="2">
        <f>E60+D61</f>
        <v>3994686.78</v>
      </c>
      <c r="F61" s="3">
        <f>E61/$E$201</f>
        <v>0.29654241806054799</v>
      </c>
      <c r="G61" s="22" t="str">
        <f>IF(F61&lt;=70%,"A",IF(F61&lt;=90%,"B","C"))</f>
        <v>A</v>
      </c>
    </row>
    <row r="62" spans="1:7" x14ac:dyDescent="0.3">
      <c r="A62" t="str">
        <f>Data!A38</f>
        <v>ELE0037</v>
      </c>
      <c r="B62" t="str">
        <f>Data!B38</f>
        <v>Electronics Item 37</v>
      </c>
      <c r="C62" t="str">
        <f>Data!C38</f>
        <v>Category B</v>
      </c>
      <c r="D62" s="2">
        <f>Data!L38</f>
        <v>19209.599999999999</v>
      </c>
      <c r="E62" s="2">
        <f>E61+D62</f>
        <v>4013896.38</v>
      </c>
      <c r="F62" s="3">
        <f>E62/$E$201</f>
        <v>0.29796842754456965</v>
      </c>
      <c r="G62" s="22" t="str">
        <f>IF(F62&lt;=70%,"A",IF(F62&lt;=90%,"B","C"))</f>
        <v>A</v>
      </c>
    </row>
    <row r="63" spans="1:7" x14ac:dyDescent="0.3">
      <c r="A63" t="str">
        <f>Data!A105</f>
        <v>ELE0104</v>
      </c>
      <c r="B63" t="str">
        <f>Data!B105</f>
        <v>Electronics Item 104</v>
      </c>
      <c r="C63" t="str">
        <f>Data!C105</f>
        <v>Category A</v>
      </c>
      <c r="D63" s="2">
        <f>Data!L105</f>
        <v>142985.70000000001</v>
      </c>
      <c r="E63" s="2">
        <f>E62+D63</f>
        <v>4156882.08</v>
      </c>
      <c r="F63" s="3">
        <f>E63/$E$201</f>
        <v>0.30858285805220514</v>
      </c>
      <c r="G63" s="22" t="str">
        <f>IF(F63&lt;=70%,"A",IF(F63&lt;=90%,"B","C"))</f>
        <v>A</v>
      </c>
    </row>
    <row r="64" spans="1:7" x14ac:dyDescent="0.3">
      <c r="A64" t="str">
        <f>Data!A98</f>
        <v>ELE0097</v>
      </c>
      <c r="B64" t="str">
        <f>Data!B98</f>
        <v>Electronics Item 97</v>
      </c>
      <c r="C64" t="str">
        <f>Data!C98</f>
        <v>Category C</v>
      </c>
      <c r="D64" s="2">
        <f>Data!L98</f>
        <v>121053.32</v>
      </c>
      <c r="E64" s="2">
        <f>E63+D64</f>
        <v>4277935.4000000004</v>
      </c>
      <c r="F64" s="3">
        <f>E64/$E$201</f>
        <v>0.31756915565300409</v>
      </c>
      <c r="G64" s="22" t="str">
        <f>IF(F64&lt;=70%,"A",IF(F64&lt;=90%,"B","C"))</f>
        <v>A</v>
      </c>
    </row>
    <row r="65" spans="1:7" x14ac:dyDescent="0.3">
      <c r="A65" t="str">
        <f>Data!A19</f>
        <v>ELE0018</v>
      </c>
      <c r="B65" t="str">
        <f>Data!B19</f>
        <v>Electronics Item 18</v>
      </c>
      <c r="C65" t="str">
        <f>Data!C19</f>
        <v>Category B</v>
      </c>
      <c r="D65" s="2">
        <f>Data!L19</f>
        <v>138870.78</v>
      </c>
      <c r="E65" s="2">
        <f>E64+D65</f>
        <v>4416806.1800000006</v>
      </c>
      <c r="F65" s="3">
        <f>E65/$E$201</f>
        <v>0.32787811832445402</v>
      </c>
      <c r="G65" s="22" t="str">
        <f>IF(F65&lt;=70%,"A",IF(F65&lt;=90%,"B","C"))</f>
        <v>A</v>
      </c>
    </row>
    <row r="66" spans="1:7" x14ac:dyDescent="0.3">
      <c r="A66" t="str">
        <f>Data!A20</f>
        <v>ELE0019</v>
      </c>
      <c r="B66" t="str">
        <f>Data!B20</f>
        <v>Electronics Item 19</v>
      </c>
      <c r="C66" t="str">
        <f>Data!C20</f>
        <v>Category A</v>
      </c>
      <c r="D66" s="2">
        <f>Data!L20</f>
        <v>13500</v>
      </c>
      <c r="E66" s="2">
        <f>E65+D66</f>
        <v>4430306.1800000006</v>
      </c>
      <c r="F66" s="3">
        <f>E66/$E$201</f>
        <v>0.328880280161988</v>
      </c>
      <c r="G66" s="22" t="str">
        <f>IF(F66&lt;=70%,"A",IF(F66&lt;=90%,"B","C"))</f>
        <v>A</v>
      </c>
    </row>
    <row r="67" spans="1:7" x14ac:dyDescent="0.3">
      <c r="A67" t="str">
        <f>Data!A77</f>
        <v>ELE0076</v>
      </c>
      <c r="B67" t="str">
        <f>Data!B77</f>
        <v>Electronics Item 76</v>
      </c>
      <c r="C67" t="str">
        <f>Data!C77</f>
        <v>Category C</v>
      </c>
      <c r="D67" s="2">
        <f>Data!L77</f>
        <v>61417.599999999999</v>
      </c>
      <c r="E67" s="2">
        <f>E66+D67</f>
        <v>4491723.78</v>
      </c>
      <c r="F67" s="3">
        <f>E67/$E$201</f>
        <v>0.33343956718961204</v>
      </c>
      <c r="G67" s="22" t="str">
        <f>IF(F67&lt;=70%,"A",IF(F67&lt;=90%,"B","C"))</f>
        <v>A</v>
      </c>
    </row>
    <row r="68" spans="1:7" x14ac:dyDescent="0.3">
      <c r="A68" t="str">
        <f>Data!A93</f>
        <v>ELE0092</v>
      </c>
      <c r="B68" t="str">
        <f>Data!B93</f>
        <v>Electronics Item 92</v>
      </c>
      <c r="C68" t="str">
        <f>Data!C93</f>
        <v>Category B</v>
      </c>
      <c r="D68" s="2">
        <f>Data!L93</f>
        <v>45401.25</v>
      </c>
      <c r="E68" s="2">
        <f>E67+D68</f>
        <v>4537125.03</v>
      </c>
      <c r="F68" s="3">
        <f>E68/$E$201</f>
        <v>0.3368098931248964</v>
      </c>
      <c r="G68" s="22" t="str">
        <f>IF(F68&lt;=70%,"A",IF(F68&lt;=90%,"B","C"))</f>
        <v>A</v>
      </c>
    </row>
    <row r="69" spans="1:7" x14ac:dyDescent="0.3">
      <c r="A69" t="str">
        <f>Data!A186</f>
        <v>ELE0185</v>
      </c>
      <c r="B69" t="str">
        <f>Data!B186</f>
        <v>Electronics Item 185</v>
      </c>
      <c r="C69" t="str">
        <f>Data!C186</f>
        <v>Category C</v>
      </c>
      <c r="D69" s="2">
        <f>Data!L186</f>
        <v>125128.08</v>
      </c>
      <c r="E69" s="2">
        <f>E68+D69</f>
        <v>4662253.1100000003</v>
      </c>
      <c r="F69" s="3">
        <f>E69/$E$201</f>
        <v>0.3460986773159998</v>
      </c>
      <c r="G69" s="22" t="str">
        <f>IF(F69&lt;=70%,"A",IF(F69&lt;=90%,"B","C"))</f>
        <v>A</v>
      </c>
    </row>
    <row r="70" spans="1:7" x14ac:dyDescent="0.3">
      <c r="A70" t="str">
        <f>Data!A121</f>
        <v>ELE0120</v>
      </c>
      <c r="B70" t="str">
        <f>Data!B121</f>
        <v>Electronics Item 120</v>
      </c>
      <c r="C70" t="str">
        <f>Data!C121</f>
        <v>Category A</v>
      </c>
      <c r="D70" s="2">
        <f>Data!L121</f>
        <v>93309.3</v>
      </c>
      <c r="E70" s="2">
        <f>E69+D70</f>
        <v>4755562.41</v>
      </c>
      <c r="F70" s="3">
        <f>E70/$E$201</f>
        <v>0.35302541950466698</v>
      </c>
      <c r="G70" s="22" t="str">
        <f>IF(F70&lt;=70%,"A",IF(F70&lt;=90%,"B","C"))</f>
        <v>A</v>
      </c>
    </row>
    <row r="71" spans="1:7" x14ac:dyDescent="0.3">
      <c r="A71" t="str">
        <f>Data!A79</f>
        <v>ELE0078</v>
      </c>
      <c r="B71" t="str">
        <f>Data!B79</f>
        <v>Electronics Item 78</v>
      </c>
      <c r="C71" t="str">
        <f>Data!C79</f>
        <v>Category A</v>
      </c>
      <c r="D71" s="2">
        <f>Data!L79</f>
        <v>76560.75</v>
      </c>
      <c r="E71" s="2">
        <f>E70+D71</f>
        <v>4832123.16</v>
      </c>
      <c r="F71" s="3">
        <f>E71/$E$201</f>
        <v>0.35870884631229494</v>
      </c>
      <c r="G71" s="22" t="str">
        <f>IF(F71&lt;=70%,"A",IF(F71&lt;=90%,"B","C"))</f>
        <v>A</v>
      </c>
    </row>
    <row r="72" spans="1:7" x14ac:dyDescent="0.3">
      <c r="A72" t="str">
        <f>Data!A160</f>
        <v>ELE0159</v>
      </c>
      <c r="B72" t="str">
        <f>Data!B160</f>
        <v>Electronics Item 159</v>
      </c>
      <c r="C72" t="str">
        <f>Data!C160</f>
        <v>Category C</v>
      </c>
      <c r="D72" s="2">
        <f>Data!L160</f>
        <v>8345.4</v>
      </c>
      <c r="E72" s="2">
        <f>E71+D72</f>
        <v>4840468.5600000005</v>
      </c>
      <c r="F72" s="3">
        <f>E72/$E$201</f>
        <v>0.35932836048999539</v>
      </c>
      <c r="G72" s="22" t="str">
        <f>IF(F72&lt;=70%,"A",IF(F72&lt;=90%,"B","C"))</f>
        <v>A</v>
      </c>
    </row>
    <row r="73" spans="1:7" x14ac:dyDescent="0.3">
      <c r="A73" t="str">
        <f>Data!A144</f>
        <v>ELE0143</v>
      </c>
      <c r="B73" t="str">
        <f>Data!B144</f>
        <v>Electronics Item 143</v>
      </c>
      <c r="C73" t="str">
        <f>Data!C144</f>
        <v>Category C</v>
      </c>
      <c r="D73" s="2">
        <f>Data!L144</f>
        <v>77817.3</v>
      </c>
      <c r="E73" s="2">
        <f>E72+D73</f>
        <v>4918285.8600000003</v>
      </c>
      <c r="F73" s="3">
        <f>E73/$E$201</f>
        <v>0.36510506629443473</v>
      </c>
      <c r="G73" s="22" t="str">
        <f>IF(F73&lt;=70%,"A",IF(F73&lt;=90%,"B","C"))</f>
        <v>A</v>
      </c>
    </row>
    <row r="74" spans="1:7" x14ac:dyDescent="0.3">
      <c r="A74" t="str">
        <f>Data!A66</f>
        <v>ELE0065</v>
      </c>
      <c r="B74" t="str">
        <f>Data!B66</f>
        <v>Electronics Item 65</v>
      </c>
      <c r="C74" t="str">
        <f>Data!C66</f>
        <v>Category A</v>
      </c>
      <c r="D74" s="2">
        <f>Data!L66</f>
        <v>182057.25</v>
      </c>
      <c r="E74" s="2">
        <f>E73+D74</f>
        <v>5100343.1100000003</v>
      </c>
      <c r="F74" s="3">
        <f>E74/$E$201</f>
        <v>0.37861994245712943</v>
      </c>
      <c r="G74" s="22" t="str">
        <f>IF(F74&lt;=70%,"A",IF(F74&lt;=90%,"B","C"))</f>
        <v>A</v>
      </c>
    </row>
    <row r="75" spans="1:7" x14ac:dyDescent="0.3">
      <c r="A75" t="str">
        <f>Data!A34</f>
        <v>ELE0033</v>
      </c>
      <c r="B75" t="str">
        <f>Data!B34</f>
        <v>Electronics Item 33</v>
      </c>
      <c r="C75" t="str">
        <f>Data!C34</f>
        <v>Category A</v>
      </c>
      <c r="D75" s="2">
        <f>Data!L34</f>
        <v>5583.8</v>
      </c>
      <c r="E75" s="2">
        <f>E74+D75</f>
        <v>5105926.91</v>
      </c>
      <c r="F75" s="3">
        <f>E75/$E$201</f>
        <v>0.37903445143997549</v>
      </c>
      <c r="G75" s="22" t="str">
        <f>IF(F75&lt;=70%,"A",IF(F75&lt;=90%,"B","C"))</f>
        <v>A</v>
      </c>
    </row>
    <row r="76" spans="1:7" x14ac:dyDescent="0.3">
      <c r="A76" t="str">
        <f>Data!A53</f>
        <v>ELE0052</v>
      </c>
      <c r="B76" t="str">
        <f>Data!B53</f>
        <v>Electronics Item 52</v>
      </c>
      <c r="C76" t="str">
        <f>Data!C53</f>
        <v>Category C</v>
      </c>
      <c r="D76" s="2">
        <f>Data!L53</f>
        <v>26520.12</v>
      </c>
      <c r="E76" s="2">
        <f>E75+D76</f>
        <v>5132447.03</v>
      </c>
      <c r="F76" s="3">
        <f>E76/$E$201</f>
        <v>0.38100315160225856</v>
      </c>
      <c r="G76" s="22" t="str">
        <f>IF(F76&lt;=70%,"A",IF(F76&lt;=90%,"B","C"))</f>
        <v>A</v>
      </c>
    </row>
    <row r="77" spans="1:7" x14ac:dyDescent="0.3">
      <c r="A77" t="str">
        <f>Data!A72</f>
        <v>ELE0071</v>
      </c>
      <c r="B77" t="str">
        <f>Data!B72</f>
        <v>Electronics Item 71</v>
      </c>
      <c r="C77" t="str">
        <f>Data!C72</f>
        <v>Category A</v>
      </c>
      <c r="D77" s="2">
        <f>Data!L72</f>
        <v>36148.879999999997</v>
      </c>
      <c r="E77" s="2">
        <f>E76+D77</f>
        <v>5168595.91</v>
      </c>
      <c r="F77" s="3">
        <f>E77/$E$201</f>
        <v>0.38368663515822848</v>
      </c>
      <c r="G77" s="22" t="str">
        <f>IF(F77&lt;=70%,"A",IF(F77&lt;=90%,"B","C"))</f>
        <v>A</v>
      </c>
    </row>
    <row r="78" spans="1:7" x14ac:dyDescent="0.3">
      <c r="A78" t="str">
        <f>Data!A114</f>
        <v>ELE0113</v>
      </c>
      <c r="B78" t="str">
        <f>Data!B114</f>
        <v>Electronics Item 113</v>
      </c>
      <c r="C78" t="str">
        <f>Data!C114</f>
        <v>Category B</v>
      </c>
      <c r="D78" s="2">
        <f>Data!L114</f>
        <v>78299.360000000001</v>
      </c>
      <c r="E78" s="2">
        <f>E77+D78</f>
        <v>5246895.2700000005</v>
      </c>
      <c r="F78" s="3">
        <f>E78/$E$201</f>
        <v>0.38949912630603095</v>
      </c>
      <c r="G78" s="22" t="str">
        <f>IF(F78&lt;=70%,"A",IF(F78&lt;=90%,"B","C"))</f>
        <v>A</v>
      </c>
    </row>
    <row r="79" spans="1:7" x14ac:dyDescent="0.3">
      <c r="A79" t="str">
        <f>Data!A45</f>
        <v>ELE0044</v>
      </c>
      <c r="B79" t="str">
        <f>Data!B45</f>
        <v>Electronics Item 44</v>
      </c>
      <c r="C79" t="str">
        <f>Data!C45</f>
        <v>Category B</v>
      </c>
      <c r="D79" s="2">
        <f>Data!L45</f>
        <v>1499.08</v>
      </c>
      <c r="E79" s="2">
        <f>E78+D79</f>
        <v>5248394.3500000006</v>
      </c>
      <c r="F79" s="3">
        <f>E79/$E$201</f>
        <v>0.38961040932583912</v>
      </c>
      <c r="G79" s="22" t="str">
        <f>IF(F79&lt;=70%,"A",IF(F79&lt;=90%,"B","C"))</f>
        <v>A</v>
      </c>
    </row>
    <row r="80" spans="1:7" x14ac:dyDescent="0.3">
      <c r="A80" t="str">
        <f>Data!A196</f>
        <v>ELE0195</v>
      </c>
      <c r="B80" t="str">
        <f>Data!B196</f>
        <v>Electronics Item 195</v>
      </c>
      <c r="C80" t="str">
        <f>Data!C196</f>
        <v>Category C</v>
      </c>
      <c r="D80" s="2">
        <f>Data!L196</f>
        <v>39300.959999999999</v>
      </c>
      <c r="E80" s="2">
        <f>E79+D80</f>
        <v>5287695.3100000005</v>
      </c>
      <c r="F80" s="3">
        <f>E80/$E$201</f>
        <v>0.39252788505105751</v>
      </c>
      <c r="G80" s="22" t="str">
        <f>IF(F80&lt;=70%,"A",IF(F80&lt;=90%,"B","C"))</f>
        <v>A</v>
      </c>
    </row>
    <row r="81" spans="1:7" x14ac:dyDescent="0.3">
      <c r="A81" t="str">
        <f>Data!A31</f>
        <v>ELE0030</v>
      </c>
      <c r="B81" t="str">
        <f>Data!B31</f>
        <v>Electronics Item 30</v>
      </c>
      <c r="C81" t="str">
        <f>Data!C31</f>
        <v>Category C</v>
      </c>
      <c r="D81" s="2">
        <f>Data!L31</f>
        <v>105047.06</v>
      </c>
      <c r="E81" s="2">
        <f>E80+D81</f>
        <v>5392742.3700000001</v>
      </c>
      <c r="F81" s="3">
        <f>E81/$E$201</f>
        <v>0.40032597058269748</v>
      </c>
      <c r="G81" s="22" t="str">
        <f>IF(F81&lt;=70%,"A",IF(F81&lt;=90%,"B","C"))</f>
        <v>A</v>
      </c>
    </row>
    <row r="82" spans="1:7" x14ac:dyDescent="0.3">
      <c r="A82" t="str">
        <f>Data!A17</f>
        <v>ELE0016</v>
      </c>
      <c r="B82" t="str">
        <f>Data!B17</f>
        <v>Electronics Item 16</v>
      </c>
      <c r="C82" t="str">
        <f>Data!C17</f>
        <v>Category C</v>
      </c>
      <c r="D82" s="2">
        <f>Data!L17</f>
        <v>56334.239999999998</v>
      </c>
      <c r="E82" s="2">
        <f>E81+D82</f>
        <v>5449076.6100000003</v>
      </c>
      <c r="F82" s="3">
        <f>E82/$E$201</f>
        <v>0.40450789839562185</v>
      </c>
      <c r="G82" s="22" t="str">
        <f>IF(F82&lt;=70%,"A",IF(F82&lt;=90%,"B","C"))</f>
        <v>A</v>
      </c>
    </row>
    <row r="83" spans="1:7" x14ac:dyDescent="0.3">
      <c r="A83" t="str">
        <f>Data!A68</f>
        <v>ELE0067</v>
      </c>
      <c r="B83" t="str">
        <f>Data!B68</f>
        <v>Electronics Item 67</v>
      </c>
      <c r="C83" t="str">
        <f>Data!C68</f>
        <v>Category C</v>
      </c>
      <c r="D83" s="2">
        <f>Data!L68</f>
        <v>58254.75</v>
      </c>
      <c r="E83" s="2">
        <f>E82+D83</f>
        <v>5507331.3600000003</v>
      </c>
      <c r="F83" s="3">
        <f>E83/$E$201</f>
        <v>0.40883239375155378</v>
      </c>
      <c r="G83" s="22" t="str">
        <f>IF(F83&lt;=70%,"A",IF(F83&lt;=90%,"B","C"))</f>
        <v>A</v>
      </c>
    </row>
    <row r="84" spans="1:7" x14ac:dyDescent="0.3">
      <c r="A84" t="str">
        <f>Data!A47</f>
        <v>ELE0046</v>
      </c>
      <c r="B84" t="str">
        <f>Data!B47</f>
        <v>Electronics Item 46</v>
      </c>
      <c r="C84" t="str">
        <f>Data!C47</f>
        <v>Category A</v>
      </c>
      <c r="D84" s="2">
        <f>Data!L47</f>
        <v>35294.49</v>
      </c>
      <c r="E84" s="2">
        <f>E83+D84</f>
        <v>5542625.8500000006</v>
      </c>
      <c r="F84" s="3">
        <f>E84/$E$201</f>
        <v>0.41145245234068151</v>
      </c>
      <c r="G84" s="22" t="str">
        <f>IF(F84&lt;=70%,"A",IF(F84&lt;=90%,"B","C"))</f>
        <v>A</v>
      </c>
    </row>
    <row r="85" spans="1:7" x14ac:dyDescent="0.3">
      <c r="A85" t="str">
        <f>Data!A83</f>
        <v>ELE0082</v>
      </c>
      <c r="B85" t="str">
        <f>Data!B83</f>
        <v>Electronics Item 82</v>
      </c>
      <c r="C85" t="str">
        <f>Data!C83</f>
        <v>Category C</v>
      </c>
      <c r="D85" s="2">
        <f>Data!L83</f>
        <v>13787.95</v>
      </c>
      <c r="E85" s="2">
        <f>E84+D85</f>
        <v>5556413.8000000007</v>
      </c>
      <c r="F85" s="3">
        <f>E85/$E$201</f>
        <v>0.412475989919039</v>
      </c>
      <c r="G85" s="22" t="str">
        <f>IF(F85&lt;=70%,"A",IF(F85&lt;=90%,"B","C"))</f>
        <v>A</v>
      </c>
    </row>
    <row r="86" spans="1:7" x14ac:dyDescent="0.3">
      <c r="A86" t="str">
        <f>Data!A157</f>
        <v>ELE0156</v>
      </c>
      <c r="B86" t="str">
        <f>Data!B157</f>
        <v>Electronics Item 156</v>
      </c>
      <c r="C86" t="str">
        <f>Data!C157</f>
        <v>Category A</v>
      </c>
      <c r="D86" s="2">
        <f>Data!L157</f>
        <v>25338.14</v>
      </c>
      <c r="E86" s="2">
        <f>E85+D86</f>
        <v>5581751.9400000004</v>
      </c>
      <c r="F86" s="3">
        <f>E86/$E$201</f>
        <v>0.41435694672956436</v>
      </c>
      <c r="G86" s="22" t="str">
        <f>IF(F86&lt;=70%,"A",IF(F86&lt;=90%,"B","C"))</f>
        <v>A</v>
      </c>
    </row>
    <row r="87" spans="1:7" x14ac:dyDescent="0.3">
      <c r="A87" t="str">
        <f>Data!A117</f>
        <v>ELE0116</v>
      </c>
      <c r="B87" t="str">
        <f>Data!B117</f>
        <v>Electronics Item 116</v>
      </c>
      <c r="C87" t="str">
        <f>Data!C117</f>
        <v>Category A</v>
      </c>
      <c r="D87" s="2">
        <f>Data!L117</f>
        <v>38337.82</v>
      </c>
      <c r="E87" s="2">
        <f>E86+D87</f>
        <v>5620089.7600000007</v>
      </c>
      <c r="F87" s="3">
        <f>E87/$E$201</f>
        <v>0.41720292451758262</v>
      </c>
      <c r="G87" s="22" t="str">
        <f>IF(F87&lt;=70%,"A",IF(F87&lt;=90%,"B","C"))</f>
        <v>A</v>
      </c>
    </row>
    <row r="88" spans="1:7" x14ac:dyDescent="0.3">
      <c r="A88" t="str">
        <f>Data!A200</f>
        <v>ELE0199</v>
      </c>
      <c r="B88" t="str">
        <f>Data!B200</f>
        <v>Electronics Item 199</v>
      </c>
      <c r="C88" t="str">
        <f>Data!C200</f>
        <v>Category B</v>
      </c>
      <c r="D88" s="2">
        <f>Data!L200</f>
        <v>144099.6</v>
      </c>
      <c r="E88" s="2">
        <f>E87+D88</f>
        <v>5764189.3600000003</v>
      </c>
      <c r="F88" s="3">
        <f>E88/$E$201</f>
        <v>0.42790004451194613</v>
      </c>
      <c r="G88" s="22" t="str">
        <f>IF(F88&lt;=70%,"A",IF(F88&lt;=90%,"B","C"))</f>
        <v>A</v>
      </c>
    </row>
    <row r="89" spans="1:7" x14ac:dyDescent="0.3">
      <c r="A89" t="str">
        <f>Data!A106</f>
        <v>ELE0105</v>
      </c>
      <c r="B89" t="str">
        <f>Data!B106</f>
        <v>Electronics Item 105</v>
      </c>
      <c r="C89" t="str">
        <f>Data!C106</f>
        <v>Category A</v>
      </c>
      <c r="D89" s="2">
        <f>Data!L106</f>
        <v>154745.15</v>
      </c>
      <c r="E89" s="2">
        <f>E88+D89</f>
        <v>5918934.5100000007</v>
      </c>
      <c r="F89" s="3">
        <f>E89/$E$201</f>
        <v>0.4393874285025734</v>
      </c>
      <c r="G89" s="22" t="str">
        <f>IF(F89&lt;=70%,"A",IF(F89&lt;=90%,"B","C"))</f>
        <v>A</v>
      </c>
    </row>
    <row r="90" spans="1:7" x14ac:dyDescent="0.3">
      <c r="A90" t="str">
        <f>Data!A197</f>
        <v>ELE0196</v>
      </c>
      <c r="B90" t="str">
        <f>Data!B197</f>
        <v>Electronics Item 196</v>
      </c>
      <c r="C90" t="str">
        <f>Data!C197</f>
        <v>Category A</v>
      </c>
      <c r="D90" s="2">
        <f>Data!L197</f>
        <v>16247.61</v>
      </c>
      <c r="E90" s="2">
        <f>E89+D90</f>
        <v>5935182.120000001</v>
      </c>
      <c r="F90" s="3">
        <f>E90/$E$201</f>
        <v>0.44059355699836117</v>
      </c>
      <c r="G90" s="22" t="str">
        <f>IF(F90&lt;=70%,"A",IF(F90&lt;=90%,"B","C"))</f>
        <v>A</v>
      </c>
    </row>
    <row r="91" spans="1:7" x14ac:dyDescent="0.3">
      <c r="A91" t="str">
        <f>Data!A2</f>
        <v>ELE0001</v>
      </c>
      <c r="B91" t="str">
        <f>Data!B2</f>
        <v>Electronics Item 1</v>
      </c>
      <c r="C91" t="str">
        <f>Data!C2</f>
        <v>Category A</v>
      </c>
      <c r="D91" s="2">
        <f>Data!L2</f>
        <v>5857.06</v>
      </c>
      <c r="E91" s="2">
        <f>E90+D91</f>
        <v>5941039.1800000006</v>
      </c>
      <c r="F91" s="3">
        <f>E91/$E$201</f>
        <v>0.44102835122148315</v>
      </c>
      <c r="G91" s="22" t="str">
        <f>IF(F91&lt;=70%,"A",IF(F91&lt;=90%,"B","C"))</f>
        <v>A</v>
      </c>
    </row>
    <row r="92" spans="1:7" x14ac:dyDescent="0.3">
      <c r="A92" t="str">
        <f>Data!A164</f>
        <v>ELE0163</v>
      </c>
      <c r="B92" t="str">
        <f>Data!B164</f>
        <v>Electronics Item 163</v>
      </c>
      <c r="C92" t="str">
        <f>Data!C164</f>
        <v>Category B</v>
      </c>
      <c r="D92" s="2">
        <f>Data!L164</f>
        <v>76688</v>
      </c>
      <c r="E92" s="2">
        <f>E91+D92</f>
        <v>6017727.1800000006</v>
      </c>
      <c r="F92" s="3">
        <f>E92/$E$201</f>
        <v>0.4467212243323575</v>
      </c>
      <c r="G92" s="22" t="str">
        <f>IF(F92&lt;=70%,"A",IF(F92&lt;=90%,"B","C"))</f>
        <v>A</v>
      </c>
    </row>
    <row r="93" spans="1:7" x14ac:dyDescent="0.3">
      <c r="A93" t="str">
        <f>Data!A28</f>
        <v>ELE0027</v>
      </c>
      <c r="B93" t="str">
        <f>Data!B28</f>
        <v>Electronics Item 27</v>
      </c>
      <c r="C93" t="str">
        <f>Data!C28</f>
        <v>Category C</v>
      </c>
      <c r="D93" s="2">
        <f>Data!L28</f>
        <v>56700.27</v>
      </c>
      <c r="E93" s="2">
        <f>E92+D93</f>
        <v>6074427.4500000002</v>
      </c>
      <c r="F93" s="3">
        <f>E93/$E$201</f>
        <v>0.4509303240932368</v>
      </c>
      <c r="G93" s="22" t="str">
        <f>IF(F93&lt;=70%,"A",IF(F93&lt;=90%,"B","C"))</f>
        <v>A</v>
      </c>
    </row>
    <row r="94" spans="1:7" x14ac:dyDescent="0.3">
      <c r="A94" t="str">
        <f>Data!A189</f>
        <v>ELE0188</v>
      </c>
      <c r="B94" t="str">
        <f>Data!B189</f>
        <v>Electronics Item 188</v>
      </c>
      <c r="C94" t="str">
        <f>Data!C189</f>
        <v>Category C</v>
      </c>
      <c r="D94" s="2">
        <f>Data!L189</f>
        <v>180806.2</v>
      </c>
      <c r="E94" s="2">
        <f>E93+D94</f>
        <v>6255233.6500000004</v>
      </c>
      <c r="F94" s="3">
        <f>E94/$E$201</f>
        <v>0.46435232954727623</v>
      </c>
      <c r="G94" s="22" t="str">
        <f>IF(F94&lt;=70%,"A",IF(F94&lt;=90%,"B","C"))</f>
        <v>A</v>
      </c>
    </row>
    <row r="95" spans="1:7" x14ac:dyDescent="0.3">
      <c r="A95" t="str">
        <f>Data!A199</f>
        <v>ELE0198</v>
      </c>
      <c r="B95" t="str">
        <f>Data!B199</f>
        <v>Electronics Item 198</v>
      </c>
      <c r="C95" t="str">
        <f>Data!C199</f>
        <v>Category C</v>
      </c>
      <c r="D95" s="2">
        <f>Data!L199</f>
        <v>42281.53</v>
      </c>
      <c r="E95" s="2">
        <f>E94+D95</f>
        <v>6297515.1800000006</v>
      </c>
      <c r="F95" s="3">
        <f>E95/$E$201</f>
        <v>0.46749106553235381</v>
      </c>
      <c r="G95" s="22" t="str">
        <f>IF(F95&lt;=70%,"A",IF(F95&lt;=90%,"B","C"))</f>
        <v>A</v>
      </c>
    </row>
    <row r="96" spans="1:7" x14ac:dyDescent="0.3">
      <c r="A96" t="str">
        <f>Data!A62</f>
        <v>ELE0061</v>
      </c>
      <c r="B96" t="str">
        <f>Data!B62</f>
        <v>Electronics Item 61</v>
      </c>
      <c r="C96" t="str">
        <f>Data!C62</f>
        <v>Category C</v>
      </c>
      <c r="D96" s="2">
        <f>Data!L62</f>
        <v>25583.360000000001</v>
      </c>
      <c r="E96" s="2">
        <f>E95+D96</f>
        <v>6323098.540000001</v>
      </c>
      <c r="F96" s="3">
        <f>E96/$E$201</f>
        <v>0.46939022605590142</v>
      </c>
      <c r="G96" s="22" t="str">
        <f>IF(F96&lt;=70%,"A",IF(F96&lt;=90%,"B","C"))</f>
        <v>A</v>
      </c>
    </row>
    <row r="97" spans="1:7" x14ac:dyDescent="0.3">
      <c r="A97" t="str">
        <f>Data!A124</f>
        <v>ELE0123</v>
      </c>
      <c r="B97" t="str">
        <f>Data!B124</f>
        <v>Electronics Item 123</v>
      </c>
      <c r="C97" t="str">
        <f>Data!C124</f>
        <v>Category C</v>
      </c>
      <c r="D97" s="2">
        <f>Data!L124</f>
        <v>60589.22</v>
      </c>
      <c r="E97" s="2">
        <f>E96+D97</f>
        <v>6383687.7600000007</v>
      </c>
      <c r="F97" s="3">
        <f>E97/$E$201</f>
        <v>0.47388801894849025</v>
      </c>
      <c r="G97" s="22" t="str">
        <f>IF(F97&lt;=70%,"A",IF(F97&lt;=90%,"B","C"))</f>
        <v>A</v>
      </c>
    </row>
    <row r="98" spans="1:7" x14ac:dyDescent="0.3">
      <c r="A98" t="str">
        <f>Data!A14</f>
        <v>ELE0013</v>
      </c>
      <c r="B98" t="str">
        <f>Data!B14</f>
        <v>Electronics Item 13</v>
      </c>
      <c r="C98" t="str">
        <f>Data!C14</f>
        <v>Category A</v>
      </c>
      <c r="D98" s="2">
        <f>Data!L14</f>
        <v>90249</v>
      </c>
      <c r="E98" s="2">
        <f>E97+D98</f>
        <v>6473936.7600000007</v>
      </c>
      <c r="F98" s="3">
        <f>E98/$E$201</f>
        <v>0.48058758218372</v>
      </c>
      <c r="G98" s="22" t="str">
        <f>IF(F98&lt;=70%,"A",IF(F98&lt;=90%,"B","C"))</f>
        <v>A</v>
      </c>
    </row>
    <row r="99" spans="1:7" x14ac:dyDescent="0.3">
      <c r="A99" t="str">
        <f>Data!A86</f>
        <v>ELE0085</v>
      </c>
      <c r="B99" t="str">
        <f>Data!B86</f>
        <v>Electronics Item 85</v>
      </c>
      <c r="C99" t="str">
        <f>Data!C86</f>
        <v>Category B</v>
      </c>
      <c r="D99" s="2">
        <f>Data!L86</f>
        <v>46878.75</v>
      </c>
      <c r="E99" s="2">
        <f>E98+D99</f>
        <v>6520815.5100000007</v>
      </c>
      <c r="F99" s="3">
        <f>E99/$E$201</f>
        <v>0.48406758916455667</v>
      </c>
      <c r="G99" s="22" t="str">
        <f>IF(F99&lt;=70%,"A",IF(F99&lt;=90%,"B","C"))</f>
        <v>A</v>
      </c>
    </row>
    <row r="100" spans="1:7" x14ac:dyDescent="0.3">
      <c r="A100" t="str">
        <f>Data!A5</f>
        <v>ELE0004</v>
      </c>
      <c r="B100" t="str">
        <f>Data!B5</f>
        <v>Electronics Item 4</v>
      </c>
      <c r="C100" t="str">
        <f>Data!C5</f>
        <v>Category C</v>
      </c>
      <c r="D100" s="2">
        <f>Data!L5</f>
        <v>2378.66</v>
      </c>
      <c r="E100" s="2">
        <f>E99+D100</f>
        <v>6523194.1700000009</v>
      </c>
      <c r="F100" s="3">
        <f>E100/$E$201</f>
        <v>0.48424416711096174</v>
      </c>
      <c r="G100" s="22" t="str">
        <f>IF(F100&lt;=70%,"A",IF(F100&lt;=90%,"B","C"))</f>
        <v>A</v>
      </c>
    </row>
    <row r="101" spans="1:7" x14ac:dyDescent="0.3">
      <c r="A101" t="str">
        <f>Data!A54</f>
        <v>ELE0053</v>
      </c>
      <c r="B101" t="str">
        <f>Data!B54</f>
        <v>Electronics Item 53</v>
      </c>
      <c r="C101" t="str">
        <f>Data!C54</f>
        <v>Category C</v>
      </c>
      <c r="D101" s="2">
        <f>Data!L54</f>
        <v>1643.31</v>
      </c>
      <c r="E101" s="2">
        <f>E100+D101</f>
        <v>6524837.4800000004</v>
      </c>
      <c r="F101" s="3">
        <f>E101/$E$201</f>
        <v>0.48436615693090529</v>
      </c>
      <c r="G101" s="22" t="str">
        <f>IF(F101&lt;=70%,"A",IF(F101&lt;=90%,"B","C"))</f>
        <v>A</v>
      </c>
    </row>
    <row r="102" spans="1:7" x14ac:dyDescent="0.3">
      <c r="A102" t="str">
        <f>Data!A154</f>
        <v>ELE0153</v>
      </c>
      <c r="B102" t="str">
        <f>Data!B154</f>
        <v>Electronics Item 153</v>
      </c>
      <c r="C102" t="str">
        <f>Data!C154</f>
        <v>Category A</v>
      </c>
      <c r="D102" s="2">
        <f>Data!L154</f>
        <v>103182.24</v>
      </c>
      <c r="E102" s="2">
        <f>E101+D102</f>
        <v>6628019.7200000007</v>
      </c>
      <c r="F102" s="3">
        <f>E102/$E$201</f>
        <v>0.49202580902270304</v>
      </c>
      <c r="G102" s="22" t="str">
        <f>IF(F102&lt;=70%,"A",IF(F102&lt;=90%,"B","C"))</f>
        <v>A</v>
      </c>
    </row>
    <row r="103" spans="1:7" x14ac:dyDescent="0.3">
      <c r="A103" t="str">
        <f>Data!A125</f>
        <v>ELE0124</v>
      </c>
      <c r="B103" t="str">
        <f>Data!B125</f>
        <v>Electronics Item 124</v>
      </c>
      <c r="C103" t="str">
        <f>Data!C125</f>
        <v>Category A</v>
      </c>
      <c r="D103" s="2">
        <f>Data!L125</f>
        <v>51327.9</v>
      </c>
      <c r="E103" s="2">
        <f>E102+D103</f>
        <v>6679347.620000001</v>
      </c>
      <c r="F103" s="3">
        <f>E103/$E$201</f>
        <v>0.49583609513979632</v>
      </c>
      <c r="G103" s="22" t="str">
        <f>IF(F103&lt;=70%,"A",IF(F103&lt;=90%,"B","C"))</f>
        <v>A</v>
      </c>
    </row>
    <row r="104" spans="1:7" x14ac:dyDescent="0.3">
      <c r="A104" t="str">
        <f>Data!A46</f>
        <v>ELE0045</v>
      </c>
      <c r="B104" t="str">
        <f>Data!B46</f>
        <v>Electronics Item 45</v>
      </c>
      <c r="C104" t="str">
        <f>Data!C46</f>
        <v>Category A</v>
      </c>
      <c r="D104" s="2">
        <f>Data!L46</f>
        <v>121742.58</v>
      </c>
      <c r="E104" s="2">
        <f>E103+D104</f>
        <v>6801090.2000000011</v>
      </c>
      <c r="F104" s="3">
        <f>E104/$E$201</f>
        <v>0.50487355941230927</v>
      </c>
      <c r="G104" s="22" t="str">
        <f>IF(F104&lt;=70%,"A",IF(F104&lt;=90%,"B","C"))</f>
        <v>A</v>
      </c>
    </row>
    <row r="105" spans="1:7" x14ac:dyDescent="0.3">
      <c r="A105" t="str">
        <f>Data!A166</f>
        <v>ELE0165</v>
      </c>
      <c r="B105" t="str">
        <f>Data!B166</f>
        <v>Electronics Item 165</v>
      </c>
      <c r="C105" t="str">
        <f>Data!C166</f>
        <v>Category B</v>
      </c>
      <c r="D105" s="2">
        <f>Data!L166</f>
        <v>138449.19</v>
      </c>
      <c r="E105" s="2">
        <f>E104+D105</f>
        <v>6939539.3900000015</v>
      </c>
      <c r="F105" s="3">
        <f>E105/$E$201</f>
        <v>0.51515122568308613</v>
      </c>
      <c r="G105" s="22" t="str">
        <f>IF(F105&lt;=70%,"A",IF(F105&lt;=90%,"B","C"))</f>
        <v>A</v>
      </c>
    </row>
    <row r="106" spans="1:7" x14ac:dyDescent="0.3">
      <c r="A106" t="str">
        <f>Data!A161</f>
        <v>ELE0160</v>
      </c>
      <c r="B106" t="str">
        <f>Data!B161</f>
        <v>Electronics Item 160</v>
      </c>
      <c r="C106" t="str">
        <f>Data!C161</f>
        <v>Category B</v>
      </c>
      <c r="D106" s="2">
        <f>Data!L161</f>
        <v>64066.48</v>
      </c>
      <c r="E106" s="2">
        <f>E105+D106</f>
        <v>7003605.870000002</v>
      </c>
      <c r="F106" s="3">
        <f>E106/$E$201</f>
        <v>0.51990715022539224</v>
      </c>
      <c r="G106" s="22" t="str">
        <f>IF(F106&lt;=70%,"A",IF(F106&lt;=90%,"B","C"))</f>
        <v>A</v>
      </c>
    </row>
    <row r="107" spans="1:7" x14ac:dyDescent="0.3">
      <c r="A107" t="str">
        <f>Data!A48</f>
        <v>ELE0047</v>
      </c>
      <c r="B107" t="str">
        <f>Data!B48</f>
        <v>Electronics Item 47</v>
      </c>
      <c r="C107" t="str">
        <f>Data!C48</f>
        <v>Category C</v>
      </c>
      <c r="D107" s="2">
        <f>Data!L48</f>
        <v>11472.63</v>
      </c>
      <c r="E107" s="2">
        <f>E106+D107</f>
        <v>7015078.5000000019</v>
      </c>
      <c r="F107" s="3">
        <f>E107/$E$201</f>
        <v>0.52075881185221806</v>
      </c>
      <c r="G107" s="22" t="str">
        <f>IF(F107&lt;=70%,"A",IF(F107&lt;=90%,"B","C"))</f>
        <v>A</v>
      </c>
    </row>
    <row r="108" spans="1:7" x14ac:dyDescent="0.3">
      <c r="A108" t="str">
        <f>Data!A190</f>
        <v>ELE0189</v>
      </c>
      <c r="B108" t="str">
        <f>Data!B190</f>
        <v>Electronics Item 189</v>
      </c>
      <c r="C108" t="str">
        <f>Data!C190</f>
        <v>Category B</v>
      </c>
      <c r="D108" s="2">
        <f>Data!L190</f>
        <v>57507</v>
      </c>
      <c r="E108" s="2">
        <f>E107+D108</f>
        <v>7072585.5000000019</v>
      </c>
      <c r="F108" s="3">
        <f>E108/$E$201</f>
        <v>0.52502779857748205</v>
      </c>
      <c r="G108" s="22" t="str">
        <f>IF(F108&lt;=70%,"A",IF(F108&lt;=90%,"B","C"))</f>
        <v>A</v>
      </c>
    </row>
    <row r="109" spans="1:7" x14ac:dyDescent="0.3">
      <c r="A109" t="str">
        <f>Data!A136</f>
        <v>ELE0135</v>
      </c>
      <c r="B109" t="str">
        <f>Data!B136</f>
        <v>Electronics Item 135</v>
      </c>
      <c r="C109" t="str">
        <f>Data!C136</f>
        <v>Category C</v>
      </c>
      <c r="D109" s="2">
        <f>Data!L136</f>
        <v>65601.63</v>
      </c>
      <c r="E109" s="2">
        <f>E108+D109</f>
        <v>7138187.1300000018</v>
      </c>
      <c r="F109" s="3">
        <f>E109/$E$201</f>
        <v>0.52989768376755786</v>
      </c>
      <c r="G109" s="22" t="str">
        <f>IF(F109&lt;=70%,"A",IF(F109&lt;=90%,"B","C"))</f>
        <v>A</v>
      </c>
    </row>
    <row r="110" spans="1:7" x14ac:dyDescent="0.3">
      <c r="A110" t="str">
        <f>Data!A182</f>
        <v>ELE0181</v>
      </c>
      <c r="B110" t="str">
        <f>Data!B182</f>
        <v>Electronics Item 181</v>
      </c>
      <c r="C110" t="str">
        <f>Data!C182</f>
        <v>Category B</v>
      </c>
      <c r="D110" s="2">
        <f>Data!L182</f>
        <v>37741.1</v>
      </c>
      <c r="E110" s="2">
        <f>E109+D110</f>
        <v>7175928.2300000014</v>
      </c>
      <c r="F110" s="3">
        <f>E110/$E$201</f>
        <v>0.53269936451767286</v>
      </c>
      <c r="G110" s="22" t="str">
        <f>IF(F110&lt;=70%,"A",IF(F110&lt;=90%,"B","C"))</f>
        <v>A</v>
      </c>
    </row>
    <row r="111" spans="1:7" x14ac:dyDescent="0.3">
      <c r="A111" t="str">
        <f>Data!A81</f>
        <v>ELE0080</v>
      </c>
      <c r="B111" t="str">
        <f>Data!B81</f>
        <v>Electronics Item 80</v>
      </c>
      <c r="C111" t="str">
        <f>Data!C81</f>
        <v>Category B</v>
      </c>
      <c r="D111" s="2">
        <f>Data!L81</f>
        <v>70219</v>
      </c>
      <c r="E111" s="2">
        <f>E110+D111</f>
        <v>7246147.2300000014</v>
      </c>
      <c r="F111" s="3">
        <f>E111/$E$201</f>
        <v>0.53791201652284293</v>
      </c>
      <c r="G111" s="22" t="str">
        <f>IF(F111&lt;=70%,"A",IF(F111&lt;=90%,"B","C"))</f>
        <v>A</v>
      </c>
    </row>
    <row r="112" spans="1:7" x14ac:dyDescent="0.3">
      <c r="A112" t="str">
        <f>Data!A67</f>
        <v>ELE0066</v>
      </c>
      <c r="B112" t="str">
        <f>Data!B67</f>
        <v>Electronics Item 66</v>
      </c>
      <c r="C112" t="str">
        <f>Data!C67</f>
        <v>Category B</v>
      </c>
      <c r="D112" s="2">
        <f>Data!L67</f>
        <v>8131.2</v>
      </c>
      <c r="E112" s="2">
        <f>E111+D112</f>
        <v>7254278.4300000016</v>
      </c>
      <c r="F112" s="3">
        <f>E112/$E$201</f>
        <v>0.53851562973272116</v>
      </c>
      <c r="G112" s="22" t="str">
        <f>IF(F112&lt;=70%,"A",IF(F112&lt;=90%,"B","C"))</f>
        <v>A</v>
      </c>
    </row>
    <row r="113" spans="1:7" x14ac:dyDescent="0.3">
      <c r="A113" t="str">
        <f>Data!A192</f>
        <v>ELE0191</v>
      </c>
      <c r="B113" t="str">
        <f>Data!B192</f>
        <v>Electronics Item 191</v>
      </c>
      <c r="C113" t="str">
        <f>Data!C192</f>
        <v>Category C</v>
      </c>
      <c r="D113" s="2">
        <f>Data!L192</f>
        <v>217710</v>
      </c>
      <c r="E113" s="2">
        <f>E112+D113</f>
        <v>7471988.4300000016</v>
      </c>
      <c r="F113" s="3">
        <f>E113/$E$201</f>
        <v>0.55467715963268549</v>
      </c>
      <c r="G113" s="22" t="str">
        <f>IF(F113&lt;=70%,"A",IF(F113&lt;=90%,"B","C"))</f>
        <v>A</v>
      </c>
    </row>
    <row r="114" spans="1:7" x14ac:dyDescent="0.3">
      <c r="A114" t="str">
        <f>Data!A95</f>
        <v>ELE0094</v>
      </c>
      <c r="B114" t="str">
        <f>Data!B95</f>
        <v>Electronics Item 94</v>
      </c>
      <c r="C114" t="str">
        <f>Data!C95</f>
        <v>Category B</v>
      </c>
      <c r="D114" s="2">
        <f>Data!L95</f>
        <v>8683.92</v>
      </c>
      <c r="E114" s="2">
        <f>E113+D114</f>
        <v>7480672.3500000015</v>
      </c>
      <c r="F114" s="3">
        <f>E114/$E$201</f>
        <v>0.55532180357521865</v>
      </c>
      <c r="G114" s="22" t="str">
        <f>IF(F114&lt;=70%,"A",IF(F114&lt;=90%,"B","C"))</f>
        <v>A</v>
      </c>
    </row>
    <row r="115" spans="1:7" x14ac:dyDescent="0.3">
      <c r="A115" t="str">
        <f>Data!A29</f>
        <v>ELE0028</v>
      </c>
      <c r="B115" t="str">
        <f>Data!B29</f>
        <v>Electronics Item 28</v>
      </c>
      <c r="C115" t="str">
        <f>Data!C29</f>
        <v>Category C</v>
      </c>
      <c r="D115" s="2">
        <f>Data!L29</f>
        <v>157029.12</v>
      </c>
      <c r="E115" s="2">
        <f>E114+D115</f>
        <v>7637701.4700000016</v>
      </c>
      <c r="F115" s="3">
        <f>E115/$E$201</f>
        <v>0.56697873627488826</v>
      </c>
      <c r="G115" s="22" t="str">
        <f>IF(F115&lt;=70%,"A",IF(F115&lt;=90%,"B","C"))</f>
        <v>A</v>
      </c>
    </row>
    <row r="116" spans="1:7" x14ac:dyDescent="0.3">
      <c r="A116" t="str">
        <f>Data!A194</f>
        <v>ELE0193</v>
      </c>
      <c r="B116" t="str">
        <f>Data!B194</f>
        <v>Electronics Item 193</v>
      </c>
      <c r="C116" t="str">
        <f>Data!C194</f>
        <v>Category C</v>
      </c>
      <c r="D116" s="2">
        <f>Data!L194</f>
        <v>104203.44</v>
      </c>
      <c r="E116" s="2">
        <f>E115+D116</f>
        <v>7741904.910000002</v>
      </c>
      <c r="F116" s="3">
        <f>E116/$E$201</f>
        <v>0.57471419634212972</v>
      </c>
      <c r="G116" s="22" t="str">
        <f>IF(F116&lt;=70%,"A",IF(F116&lt;=90%,"B","C"))</f>
        <v>A</v>
      </c>
    </row>
    <row r="117" spans="1:7" x14ac:dyDescent="0.3">
      <c r="A117" t="str">
        <f>Data!A84</f>
        <v>ELE0083</v>
      </c>
      <c r="B117" t="str">
        <f>Data!B84</f>
        <v>Electronics Item 83</v>
      </c>
      <c r="C117" t="str">
        <f>Data!C84</f>
        <v>Category A</v>
      </c>
      <c r="D117" s="2">
        <f>Data!L84</f>
        <v>145014.87</v>
      </c>
      <c r="E117" s="2">
        <f>E116+D117</f>
        <v>7886919.7800000021</v>
      </c>
      <c r="F117" s="3">
        <f>E117/$E$201</f>
        <v>0.58547926068205181</v>
      </c>
      <c r="G117" s="22" t="str">
        <f>IF(F117&lt;=70%,"A",IF(F117&lt;=90%,"B","C"))</f>
        <v>A</v>
      </c>
    </row>
    <row r="118" spans="1:7" x14ac:dyDescent="0.3">
      <c r="A118" t="str">
        <f>Data!A43</f>
        <v>ELE0042</v>
      </c>
      <c r="B118" t="str">
        <f>Data!B43</f>
        <v>Electronics Item 42</v>
      </c>
      <c r="C118" t="str">
        <f>Data!C43</f>
        <v>Category A</v>
      </c>
      <c r="D118" s="2">
        <f>Data!L43</f>
        <v>143658.69</v>
      </c>
      <c r="E118" s="2">
        <f>E117+D118</f>
        <v>8030578.4700000025</v>
      </c>
      <c r="F118" s="3">
        <f>E118/$E$201</f>
        <v>0.5961436500708015</v>
      </c>
      <c r="G118" s="22" t="str">
        <f>IF(F118&lt;=70%,"A",IF(F118&lt;=90%,"B","C"))</f>
        <v>A</v>
      </c>
    </row>
    <row r="119" spans="1:7" x14ac:dyDescent="0.3">
      <c r="A119" t="str">
        <f>Data!A133</f>
        <v>ELE0132</v>
      </c>
      <c r="B119" t="str">
        <f>Data!B133</f>
        <v>Electronics Item 132</v>
      </c>
      <c r="C119" t="str">
        <f>Data!C133</f>
        <v>Category C</v>
      </c>
      <c r="D119" s="2">
        <f>Data!L133</f>
        <v>24430.5</v>
      </c>
      <c r="E119" s="2">
        <f>E118+D119</f>
        <v>8055008.9700000025</v>
      </c>
      <c r="F119" s="3">
        <f>E119/$E$201</f>
        <v>0.59795722894279213</v>
      </c>
      <c r="G119" s="22" t="str">
        <f>IF(F119&lt;=70%,"A",IF(F119&lt;=90%,"B","C"))</f>
        <v>A</v>
      </c>
    </row>
    <row r="120" spans="1:7" x14ac:dyDescent="0.3">
      <c r="A120" t="str">
        <f>Data!A23</f>
        <v>ELE0022</v>
      </c>
      <c r="B120" t="str">
        <f>Data!B23</f>
        <v>Electronics Item 22</v>
      </c>
      <c r="C120" t="str">
        <f>Data!C23</f>
        <v>Category C</v>
      </c>
      <c r="D120" s="2">
        <f>Data!L23</f>
        <v>25614.240000000002</v>
      </c>
      <c r="E120" s="2">
        <f>E119+D120</f>
        <v>8080623.2100000028</v>
      </c>
      <c r="F120" s="3">
        <f>E120/$E$201</f>
        <v>0.59985868181875035</v>
      </c>
      <c r="G120" s="22" t="str">
        <f>IF(F120&lt;=70%,"A",IF(F120&lt;=90%,"B","C"))</f>
        <v>A</v>
      </c>
    </row>
    <row r="121" spans="1:7" x14ac:dyDescent="0.3">
      <c r="A121" t="str">
        <f>Data!A39</f>
        <v>ELE0038</v>
      </c>
      <c r="B121" t="str">
        <f>Data!B39</f>
        <v>Electronics Item 38</v>
      </c>
      <c r="C121" t="str">
        <f>Data!C39</f>
        <v>Category A</v>
      </c>
      <c r="D121" s="2">
        <f>Data!L39</f>
        <v>152920.64000000001</v>
      </c>
      <c r="E121" s="2">
        <f>E120+D121</f>
        <v>8233543.8500000024</v>
      </c>
      <c r="F121" s="3">
        <f>E121/$E$201</f>
        <v>0.61121062475054799</v>
      </c>
      <c r="G121" s="22" t="str">
        <f>IF(F121&lt;=70%,"A",IF(F121&lt;=90%,"B","C"))</f>
        <v>A</v>
      </c>
    </row>
    <row r="122" spans="1:7" x14ac:dyDescent="0.3">
      <c r="A122" t="str">
        <f>Data!A92</f>
        <v>ELE0091</v>
      </c>
      <c r="B122" t="str">
        <f>Data!B92</f>
        <v>Electronics Item 91</v>
      </c>
      <c r="C122" t="str">
        <f>Data!C92</f>
        <v>Category B</v>
      </c>
      <c r="D122" s="2">
        <f>Data!L92</f>
        <v>98441.76</v>
      </c>
      <c r="E122" s="2">
        <f>E121+D122</f>
        <v>8331985.6100000022</v>
      </c>
      <c r="F122" s="3">
        <f>E122/$E$201</f>
        <v>0.61851837105363505</v>
      </c>
      <c r="G122" s="22" t="str">
        <f>IF(F122&lt;=70%,"A",IF(F122&lt;=90%,"B","C"))</f>
        <v>A</v>
      </c>
    </row>
    <row r="123" spans="1:7" x14ac:dyDescent="0.3">
      <c r="A123" t="str">
        <f>Data!A167</f>
        <v>ELE0166</v>
      </c>
      <c r="B123" t="str">
        <f>Data!B167</f>
        <v>Electronics Item 166</v>
      </c>
      <c r="C123" t="str">
        <f>Data!C167</f>
        <v>Category A</v>
      </c>
      <c r="D123" s="2">
        <f>Data!L167</f>
        <v>103828.85</v>
      </c>
      <c r="E123" s="2">
        <f>E122+D123</f>
        <v>8435814.4600000028</v>
      </c>
      <c r="F123" s="3">
        <f>E123/$E$201</f>
        <v>0.62622602372808234</v>
      </c>
      <c r="G123" s="22" t="str">
        <f>IF(F123&lt;=70%,"A",IF(F123&lt;=90%,"B","C"))</f>
        <v>A</v>
      </c>
    </row>
    <row r="124" spans="1:7" x14ac:dyDescent="0.3">
      <c r="A124" t="str">
        <f>Data!A110</f>
        <v>ELE0109</v>
      </c>
      <c r="B124" t="str">
        <f>Data!B110</f>
        <v>Electronics Item 109</v>
      </c>
      <c r="C124" t="str">
        <f>Data!C110</f>
        <v>Category B</v>
      </c>
      <c r="D124" s="2">
        <f>Data!L110</f>
        <v>6670.46</v>
      </c>
      <c r="E124" s="2">
        <f>E123+D124</f>
        <v>8442484.9200000037</v>
      </c>
      <c r="F124" s="3">
        <f>E124/$E$201</f>
        <v>0.6267212000577711</v>
      </c>
      <c r="G124" s="22" t="str">
        <f>IF(F124&lt;=70%,"A",IF(F124&lt;=90%,"B","C"))</f>
        <v>A</v>
      </c>
    </row>
    <row r="125" spans="1:7" x14ac:dyDescent="0.3">
      <c r="A125" t="str">
        <f>Data!A142</f>
        <v>ELE0141</v>
      </c>
      <c r="B125" t="str">
        <f>Data!B142</f>
        <v>Electronics Item 141</v>
      </c>
      <c r="C125" t="str">
        <f>Data!C142</f>
        <v>Category A</v>
      </c>
      <c r="D125" s="2">
        <f>Data!L142</f>
        <v>196735.5</v>
      </c>
      <c r="E125" s="2">
        <f>E124+D125</f>
        <v>8639220.4200000037</v>
      </c>
      <c r="F125" s="3">
        <f>E125/$E$201</f>
        <v>0.64132570451615334</v>
      </c>
      <c r="G125" s="22" t="str">
        <f>IF(F125&lt;=70%,"A",IF(F125&lt;=90%,"B","C"))</f>
        <v>A</v>
      </c>
    </row>
    <row r="126" spans="1:7" x14ac:dyDescent="0.3">
      <c r="A126" t="str">
        <f>Data!A50</f>
        <v>ELE0049</v>
      </c>
      <c r="B126" t="str">
        <f>Data!B50</f>
        <v>Electronics Item 49</v>
      </c>
      <c r="C126" t="str">
        <f>Data!C50</f>
        <v>Category C</v>
      </c>
      <c r="D126" s="2">
        <f>Data!L50</f>
        <v>92396.37</v>
      </c>
      <c r="E126" s="2">
        <f>E125+D126</f>
        <v>8731616.7900000028</v>
      </c>
      <c r="F126" s="3">
        <f>E126/$E$201</f>
        <v>0.64818467606731389</v>
      </c>
      <c r="G126" s="22" t="str">
        <f>IF(F126&lt;=70%,"A",IF(F126&lt;=90%,"B","C"))</f>
        <v>A</v>
      </c>
    </row>
    <row r="127" spans="1:7" x14ac:dyDescent="0.3">
      <c r="A127" t="str">
        <f>Data!A112</f>
        <v>ELE0111</v>
      </c>
      <c r="B127" t="str">
        <f>Data!B112</f>
        <v>Electronics Item 111</v>
      </c>
      <c r="C127" t="str">
        <f>Data!C112</f>
        <v>Category A</v>
      </c>
      <c r="D127" s="2">
        <f>Data!L112</f>
        <v>155879.4</v>
      </c>
      <c r="E127" s="2">
        <f>E126+D127</f>
        <v>8887496.1900000032</v>
      </c>
      <c r="F127" s="3">
        <f>E127/$E$201</f>
        <v>0.65975626021084655</v>
      </c>
      <c r="G127" s="22" t="str">
        <f>IF(F127&lt;=70%,"A",IF(F127&lt;=90%,"B","C"))</f>
        <v>A</v>
      </c>
    </row>
    <row r="128" spans="1:7" x14ac:dyDescent="0.3">
      <c r="A128" t="str">
        <f>Data!A151</f>
        <v>ELE0150</v>
      </c>
      <c r="B128" t="str">
        <f>Data!B151</f>
        <v>Electronics Item 150</v>
      </c>
      <c r="C128" t="str">
        <f>Data!C151</f>
        <v>Category A</v>
      </c>
      <c r="D128" s="2">
        <f>Data!L151</f>
        <v>64012.04</v>
      </c>
      <c r="E128" s="2">
        <f>E127+D128</f>
        <v>8951508.2300000023</v>
      </c>
      <c r="F128" s="3">
        <f>E128/$E$201</f>
        <v>0.66450814344274989</v>
      </c>
      <c r="G128" s="22" t="str">
        <f>IF(F128&lt;=70%,"A",IF(F128&lt;=90%,"B","C"))</f>
        <v>A</v>
      </c>
    </row>
    <row r="129" spans="1:7" x14ac:dyDescent="0.3">
      <c r="A129" t="str">
        <f>Data!A74</f>
        <v>ELE0073</v>
      </c>
      <c r="B129" t="str">
        <f>Data!B74</f>
        <v>Electronics Item 73</v>
      </c>
      <c r="C129" t="str">
        <f>Data!C74</f>
        <v>Category A</v>
      </c>
      <c r="D129" s="2">
        <f>Data!L74</f>
        <v>91056.12</v>
      </c>
      <c r="E129" s="2">
        <f>E128+D129</f>
        <v>9042564.3500000015</v>
      </c>
      <c r="F129" s="3">
        <f>E129/$E$201</f>
        <v>0.67126762259370631</v>
      </c>
      <c r="G129" s="22" t="str">
        <f>IF(F129&lt;=70%,"A",IF(F129&lt;=90%,"B","C"))</f>
        <v>A</v>
      </c>
    </row>
    <row r="130" spans="1:7" x14ac:dyDescent="0.3">
      <c r="A130" t="str">
        <f>Data!A18</f>
        <v>ELE0017</v>
      </c>
      <c r="B130" t="str">
        <f>Data!B18</f>
        <v>Electronics Item 17</v>
      </c>
      <c r="C130" t="str">
        <f>Data!C18</f>
        <v>Category C</v>
      </c>
      <c r="D130" s="2">
        <f>Data!L18</f>
        <v>18426.599999999999</v>
      </c>
      <c r="E130" s="2">
        <f>E129+D130</f>
        <v>9060990.9500000011</v>
      </c>
      <c r="F130" s="3">
        <f>E130/$E$201</f>
        <v>0.67263550669115102</v>
      </c>
      <c r="G130" s="22" t="str">
        <f>IF(F130&lt;=70%,"A",IF(F130&lt;=90%,"B","C"))</f>
        <v>A</v>
      </c>
    </row>
    <row r="131" spans="1:7" x14ac:dyDescent="0.3">
      <c r="A131" t="str">
        <f>Data!A88</f>
        <v>ELE0087</v>
      </c>
      <c r="B131" t="str">
        <f>Data!B88</f>
        <v>Electronics Item 87</v>
      </c>
      <c r="C131" t="str">
        <f>Data!C88</f>
        <v>Category A</v>
      </c>
      <c r="D131" s="2">
        <f>Data!L88</f>
        <v>23495</v>
      </c>
      <c r="E131" s="2">
        <f>E130+D131</f>
        <v>9084485.9500000011</v>
      </c>
      <c r="F131" s="3">
        <f>E131/$E$201</f>
        <v>0.67437963945951096</v>
      </c>
      <c r="G131" s="22" t="str">
        <f>IF(F131&lt;=70%,"A",IF(F131&lt;=90%,"B","C"))</f>
        <v>A</v>
      </c>
    </row>
    <row r="132" spans="1:7" x14ac:dyDescent="0.3">
      <c r="A132" t="str">
        <f>Data!A35</f>
        <v>ELE0034</v>
      </c>
      <c r="B132" t="str">
        <f>Data!B35</f>
        <v>Electronics Item 34</v>
      </c>
      <c r="C132" t="str">
        <f>Data!C35</f>
        <v>Category A</v>
      </c>
      <c r="D132" s="2">
        <f>Data!L35</f>
        <v>44018.76</v>
      </c>
      <c r="E132" s="2">
        <f>E131+D132</f>
        <v>9128504.7100000009</v>
      </c>
      <c r="F132" s="3">
        <f>E132/$E$201</f>
        <v>0.67764733734155291</v>
      </c>
      <c r="G132" s="22" t="str">
        <f>IF(F132&lt;=70%,"A",IF(F132&lt;=90%,"B","C"))</f>
        <v>A</v>
      </c>
    </row>
    <row r="133" spans="1:7" x14ac:dyDescent="0.3">
      <c r="A133" t="str">
        <f>Data!A6</f>
        <v>ELE0005</v>
      </c>
      <c r="B133" t="str">
        <f>Data!B6</f>
        <v>Electronics Item 5</v>
      </c>
      <c r="C133" t="str">
        <f>Data!C6</f>
        <v>Category A</v>
      </c>
      <c r="D133" s="2">
        <f>Data!L6</f>
        <v>36196.18</v>
      </c>
      <c r="E133" s="2">
        <f>E132+D133</f>
        <v>9164700.8900000006</v>
      </c>
      <c r="F133" s="3">
        <f>E133/$E$201</f>
        <v>0.68033433217566475</v>
      </c>
      <c r="G133" s="22" t="str">
        <f>IF(F133&lt;=70%,"A",IF(F133&lt;=90%,"B","C"))</f>
        <v>A</v>
      </c>
    </row>
    <row r="134" spans="1:7" x14ac:dyDescent="0.3">
      <c r="A134" t="str">
        <f>Data!A163</f>
        <v>ELE0162</v>
      </c>
      <c r="B134" t="str">
        <f>Data!B163</f>
        <v>Electronics Item 162</v>
      </c>
      <c r="C134" t="str">
        <f>Data!C163</f>
        <v>Category B</v>
      </c>
      <c r="D134" s="2">
        <f>Data!L163</f>
        <v>58770.400000000001</v>
      </c>
      <c r="E134" s="2">
        <f>E133+D134</f>
        <v>9223471.290000001</v>
      </c>
      <c r="F134" s="3">
        <f>E134/$E$201</f>
        <v>0.68469710640208004</v>
      </c>
      <c r="G134" s="22" t="str">
        <f>IF(F134&lt;=70%,"A",IF(F134&lt;=90%,"B","C"))</f>
        <v>A</v>
      </c>
    </row>
    <row r="135" spans="1:7" x14ac:dyDescent="0.3">
      <c r="A135" t="str">
        <f>Data!A8</f>
        <v>ELE0007</v>
      </c>
      <c r="B135" t="str">
        <f>Data!B8</f>
        <v>Electronics Item 7</v>
      </c>
      <c r="C135" t="str">
        <f>Data!C8</f>
        <v>Category C</v>
      </c>
      <c r="D135" s="2">
        <f>Data!L8</f>
        <v>37268.76</v>
      </c>
      <c r="E135" s="2">
        <f>E134+D135</f>
        <v>9260740.0500000007</v>
      </c>
      <c r="F135" s="3">
        <f>E135/$E$201</f>
        <v>0.687463723365355</v>
      </c>
      <c r="G135" s="22" t="str">
        <f>IF(F135&lt;=70%,"A",IF(F135&lt;=90%,"B","C"))</f>
        <v>A</v>
      </c>
    </row>
    <row r="136" spans="1:7" x14ac:dyDescent="0.3">
      <c r="A136" t="str">
        <f>Data!A115</f>
        <v>ELE0114</v>
      </c>
      <c r="B136" t="str">
        <f>Data!B115</f>
        <v>Electronics Item 114</v>
      </c>
      <c r="C136" t="str">
        <f>Data!C115</f>
        <v>Category A</v>
      </c>
      <c r="D136" s="2">
        <f>Data!L115</f>
        <v>69248.399999999994</v>
      </c>
      <c r="E136" s="2">
        <f>E135+D136</f>
        <v>9329988.4500000011</v>
      </c>
      <c r="F136" s="3">
        <f>E136/$E$201</f>
        <v>0.6926043236461169</v>
      </c>
      <c r="G136" s="22" t="str">
        <f>IF(F136&lt;=70%,"A",IF(F136&lt;=90%,"B","C"))</f>
        <v>A</v>
      </c>
    </row>
    <row r="137" spans="1:7" x14ac:dyDescent="0.3">
      <c r="A137" t="str">
        <f>Data!A171</f>
        <v>ELE0170</v>
      </c>
      <c r="B137" t="str">
        <f>Data!B171</f>
        <v>Electronics Item 170</v>
      </c>
      <c r="C137" t="str">
        <f>Data!C171</f>
        <v>Category C</v>
      </c>
      <c r="D137" s="2">
        <f>Data!L171</f>
        <v>190401.86</v>
      </c>
      <c r="E137" s="2">
        <f>E136+D137</f>
        <v>9520390.3100000005</v>
      </c>
      <c r="F137" s="3">
        <f>E137/$E$201</f>
        <v>0.70673865534148594</v>
      </c>
      <c r="G137" s="22" t="str">
        <f>IF(F137&lt;=70%,"A",IF(F137&lt;=90%,"B","C"))</f>
        <v>B</v>
      </c>
    </row>
    <row r="138" spans="1:7" x14ac:dyDescent="0.3">
      <c r="A138" t="str">
        <f>Data!A130</f>
        <v>ELE0129</v>
      </c>
      <c r="B138" t="str">
        <f>Data!B130</f>
        <v>Electronics Item 129</v>
      </c>
      <c r="C138" t="str">
        <f>Data!C130</f>
        <v>Category B</v>
      </c>
      <c r="D138" s="2">
        <f>Data!L130</f>
        <v>117715.25</v>
      </c>
      <c r="E138" s="2">
        <f>E137+D138</f>
        <v>9638105.5600000005</v>
      </c>
      <c r="F138" s="3">
        <f>E138/$E$201</f>
        <v>0.71547715395228362</v>
      </c>
      <c r="G138" s="22" t="str">
        <f>IF(F138&lt;=70%,"A",IF(F138&lt;=90%,"B","C"))</f>
        <v>B</v>
      </c>
    </row>
    <row r="139" spans="1:7" x14ac:dyDescent="0.3">
      <c r="A139" t="str">
        <f>Data!A185</f>
        <v>ELE0184</v>
      </c>
      <c r="B139" t="str">
        <f>Data!B185</f>
        <v>Electronics Item 184</v>
      </c>
      <c r="C139" t="str">
        <f>Data!C185</f>
        <v>Category C</v>
      </c>
      <c r="D139" s="2">
        <f>Data!L185</f>
        <v>47632.2</v>
      </c>
      <c r="E139" s="2">
        <f>E138+D139</f>
        <v>9685737.7599999998</v>
      </c>
      <c r="F139" s="3">
        <f>E139/$E$201</f>
        <v>0.71901309269878622</v>
      </c>
      <c r="G139" s="22" t="str">
        <f>IF(F139&lt;=70%,"A",IF(F139&lt;=90%,"B","C"))</f>
        <v>B</v>
      </c>
    </row>
    <row r="140" spans="1:7" x14ac:dyDescent="0.3">
      <c r="A140" t="str">
        <f>Data!A59</f>
        <v>ELE0058</v>
      </c>
      <c r="B140" t="str">
        <f>Data!B59</f>
        <v>Electronics Item 58</v>
      </c>
      <c r="C140" t="str">
        <f>Data!C59</f>
        <v>Category C</v>
      </c>
      <c r="D140" s="2">
        <f>Data!L59</f>
        <v>12857.83</v>
      </c>
      <c r="E140" s="2">
        <f>E139+D140</f>
        <v>9698595.5899999999</v>
      </c>
      <c r="F140" s="3">
        <f>E140/$E$201</f>
        <v>0.71996758355356394</v>
      </c>
      <c r="G140" s="22" t="str">
        <f>IF(F140&lt;=70%,"A",IF(F140&lt;=90%,"B","C"))</f>
        <v>B</v>
      </c>
    </row>
    <row r="141" spans="1:7" x14ac:dyDescent="0.3">
      <c r="A141" t="str">
        <f>Data!A127</f>
        <v>ELE0126</v>
      </c>
      <c r="B141" t="str">
        <f>Data!B127</f>
        <v>Electronics Item 126</v>
      </c>
      <c r="C141" t="str">
        <f>Data!C127</f>
        <v>Category C</v>
      </c>
      <c r="D141" s="2">
        <f>Data!L127</f>
        <v>17024.400000000001</v>
      </c>
      <c r="E141" s="2">
        <f>E140+D141</f>
        <v>9715619.9900000002</v>
      </c>
      <c r="F141" s="3">
        <f>E141/$E$201</f>
        <v>0.72123137644148338</v>
      </c>
      <c r="G141" s="22" t="str">
        <f>IF(F141&lt;=70%,"A",IF(F141&lt;=90%,"B","C"))</f>
        <v>B</v>
      </c>
    </row>
    <row r="142" spans="1:7" x14ac:dyDescent="0.3">
      <c r="A142" t="str">
        <f>Data!A96</f>
        <v>ELE0095</v>
      </c>
      <c r="B142" t="str">
        <f>Data!B96</f>
        <v>Electronics Item 95</v>
      </c>
      <c r="C142" t="str">
        <f>Data!C96</f>
        <v>Category C</v>
      </c>
      <c r="D142" s="2">
        <f>Data!L96</f>
        <v>22745.85</v>
      </c>
      <c r="E142" s="2">
        <f>E141+D142</f>
        <v>9738365.8399999999</v>
      </c>
      <c r="F142" s="3">
        <f>E142/$E$201</f>
        <v>0.72291989665128131</v>
      </c>
      <c r="G142" s="22" t="str">
        <f>IF(F142&lt;=70%,"A",IF(F142&lt;=90%,"B","C"))</f>
        <v>B</v>
      </c>
    </row>
    <row r="143" spans="1:7" x14ac:dyDescent="0.3">
      <c r="A143" t="str">
        <f>Data!A159</f>
        <v>ELE0158</v>
      </c>
      <c r="B143" t="str">
        <f>Data!B159</f>
        <v>Electronics Item 158</v>
      </c>
      <c r="C143" t="str">
        <f>Data!C159</f>
        <v>Category A</v>
      </c>
      <c r="D143" s="2">
        <f>Data!L159</f>
        <v>62310.31</v>
      </c>
      <c r="E143" s="2">
        <f>E142+D143</f>
        <v>9800676.1500000004</v>
      </c>
      <c r="F143" s="3">
        <f>E143/$E$201</f>
        <v>0.7275454533006821</v>
      </c>
      <c r="G143" s="22" t="str">
        <f>IF(F143&lt;=70%,"A",IF(F143&lt;=90%,"B","C"))</f>
        <v>B</v>
      </c>
    </row>
    <row r="144" spans="1:7" x14ac:dyDescent="0.3">
      <c r="A144" t="str">
        <f>Data!A187</f>
        <v>ELE0186</v>
      </c>
      <c r="B144" t="str">
        <f>Data!B187</f>
        <v>Electronics Item 186</v>
      </c>
      <c r="C144" t="str">
        <f>Data!C187</f>
        <v>Category C</v>
      </c>
      <c r="D144" s="2">
        <f>Data!L187</f>
        <v>3615.36</v>
      </c>
      <c r="E144" s="2">
        <f>E143+D144</f>
        <v>9804291.5099999998</v>
      </c>
      <c r="F144" s="3">
        <f>E144/$E$201</f>
        <v>0.72781383669482624</v>
      </c>
      <c r="G144" s="22" t="str">
        <f>IF(F144&lt;=70%,"A",IF(F144&lt;=90%,"B","C"))</f>
        <v>B</v>
      </c>
    </row>
    <row r="145" spans="1:7" x14ac:dyDescent="0.3">
      <c r="A145" t="str">
        <f>Data!A107</f>
        <v>ELE0106</v>
      </c>
      <c r="B145" t="str">
        <f>Data!B107</f>
        <v>Electronics Item 106</v>
      </c>
      <c r="C145" t="str">
        <f>Data!C107</f>
        <v>Category C</v>
      </c>
      <c r="D145" s="2">
        <f>Data!L107</f>
        <v>40370.239999999998</v>
      </c>
      <c r="E145" s="2">
        <f>E144+D145</f>
        <v>9844661.75</v>
      </c>
      <c r="F145" s="3">
        <f>E145/$E$201</f>
        <v>0.73081068957631423</v>
      </c>
      <c r="G145" s="22" t="str">
        <f>IF(F145&lt;=70%,"A",IF(F145&lt;=90%,"B","C"))</f>
        <v>B</v>
      </c>
    </row>
    <row r="146" spans="1:7" x14ac:dyDescent="0.3">
      <c r="A146" t="str">
        <f>Data!A51</f>
        <v>ELE0050</v>
      </c>
      <c r="B146" t="str">
        <f>Data!B51</f>
        <v>Electronics Item 50</v>
      </c>
      <c r="C146" t="str">
        <f>Data!C51</f>
        <v>Category C</v>
      </c>
      <c r="D146" s="2">
        <f>Data!L51</f>
        <v>97839.26</v>
      </c>
      <c r="E146" s="2">
        <f>E145+D146</f>
        <v>9942501.0099999998</v>
      </c>
      <c r="F146" s="3">
        <f>E146/$E$201</f>
        <v>0.73807370976776321</v>
      </c>
      <c r="G146" s="22" t="str">
        <f>IF(F146&lt;=70%,"A",IF(F146&lt;=90%,"B","C"))</f>
        <v>B</v>
      </c>
    </row>
    <row r="147" spans="1:7" x14ac:dyDescent="0.3">
      <c r="A147" t="str">
        <f>Data!A177</f>
        <v>ELE0176</v>
      </c>
      <c r="B147" t="str">
        <f>Data!B177</f>
        <v>Electronics Item 176</v>
      </c>
      <c r="C147" t="str">
        <f>Data!C177</f>
        <v>Category B</v>
      </c>
      <c r="D147" s="2">
        <f>Data!L177</f>
        <v>15588</v>
      </c>
      <c r="E147" s="2">
        <f>E146+D147</f>
        <v>9958089.0099999998</v>
      </c>
      <c r="F147" s="3">
        <f>E147/$E$201</f>
        <v>0.73923087263616916</v>
      </c>
      <c r="G147" s="22" t="str">
        <f>IF(F147&lt;=70%,"A",IF(F147&lt;=90%,"B","C"))</f>
        <v>B</v>
      </c>
    </row>
    <row r="148" spans="1:7" x14ac:dyDescent="0.3">
      <c r="A148" t="str">
        <f>Data!A104</f>
        <v>ELE0103</v>
      </c>
      <c r="B148" t="str">
        <f>Data!B104</f>
        <v>Electronics Item 103</v>
      </c>
      <c r="C148" t="str">
        <f>Data!C104</f>
        <v>Category B</v>
      </c>
      <c r="D148" s="2">
        <f>Data!L104</f>
        <v>51298.65</v>
      </c>
      <c r="E148" s="2">
        <f>E147+D148</f>
        <v>10009387.66</v>
      </c>
      <c r="F148" s="3">
        <f>E148/$E$201</f>
        <v>0.74303898740261443</v>
      </c>
      <c r="G148" s="22" t="str">
        <f>IF(F148&lt;=70%,"A",IF(F148&lt;=90%,"B","C"))</f>
        <v>B</v>
      </c>
    </row>
    <row r="149" spans="1:7" x14ac:dyDescent="0.3">
      <c r="A149" t="str">
        <f>Data!A145</f>
        <v>ELE0144</v>
      </c>
      <c r="B149" t="str">
        <f>Data!B145</f>
        <v>Electronics Item 144</v>
      </c>
      <c r="C149" t="str">
        <f>Data!C145</f>
        <v>Category B</v>
      </c>
      <c r="D149" s="2">
        <f>Data!L145</f>
        <v>22708.26</v>
      </c>
      <c r="E149" s="2">
        <f>E148+D149</f>
        <v>10032095.92</v>
      </c>
      <c r="F149" s="3">
        <f>E149/$E$201</f>
        <v>0.74472471714845134</v>
      </c>
      <c r="G149" s="22" t="str">
        <f>IF(F149&lt;=70%,"A",IF(F149&lt;=90%,"B","C"))</f>
        <v>B</v>
      </c>
    </row>
    <row r="150" spans="1:7" x14ac:dyDescent="0.3">
      <c r="A150" t="str">
        <f>Data!A15</f>
        <v>ELE0014</v>
      </c>
      <c r="B150" t="str">
        <f>Data!B15</f>
        <v>Electronics Item 14</v>
      </c>
      <c r="C150" t="str">
        <f>Data!C15</f>
        <v>Category A</v>
      </c>
      <c r="D150" s="2">
        <f>Data!L15</f>
        <v>16829.080000000002</v>
      </c>
      <c r="E150" s="2">
        <f>E149+D150</f>
        <v>10048925</v>
      </c>
      <c r="F150" s="3">
        <f>E150/$E$201</f>
        <v>0.745974010610437</v>
      </c>
      <c r="G150" s="22" t="str">
        <f>IF(F150&lt;=70%,"A",IF(F150&lt;=90%,"B","C"))</f>
        <v>B</v>
      </c>
    </row>
    <row r="151" spans="1:7" x14ac:dyDescent="0.3">
      <c r="A151" t="str">
        <f>Data!A61</f>
        <v>ELE0060</v>
      </c>
      <c r="B151" t="str">
        <f>Data!B61</f>
        <v>Electronics Item 60</v>
      </c>
      <c r="C151" t="str">
        <f>Data!C61</f>
        <v>Category A</v>
      </c>
      <c r="D151" s="2">
        <f>Data!L61</f>
        <v>6061.32</v>
      </c>
      <c r="E151" s="2">
        <f>E150+D151</f>
        <v>10054986.32</v>
      </c>
      <c r="F151" s="3">
        <f>E151/$E$201</f>
        <v>0.74642396791333188</v>
      </c>
      <c r="G151" s="22" t="str">
        <f>IF(F151&lt;=70%,"A",IF(F151&lt;=90%,"B","C"))</f>
        <v>B</v>
      </c>
    </row>
    <row r="152" spans="1:7" x14ac:dyDescent="0.3">
      <c r="A152" t="str">
        <f>Data!A176</f>
        <v>ELE0175</v>
      </c>
      <c r="B152" t="str">
        <f>Data!B176</f>
        <v>Electronics Item 175</v>
      </c>
      <c r="C152" t="str">
        <f>Data!C176</f>
        <v>Category A</v>
      </c>
      <c r="D152" s="2">
        <f>Data!L176</f>
        <v>80121.53</v>
      </c>
      <c r="E152" s="2">
        <f>E151+D152</f>
        <v>10135107.85</v>
      </c>
      <c r="F152" s="3">
        <f>E152/$E$201</f>
        <v>0.75237172641191197</v>
      </c>
      <c r="G152" s="22" t="str">
        <f>IF(F152&lt;=70%,"A",IF(F152&lt;=90%,"B","C"))</f>
        <v>B</v>
      </c>
    </row>
    <row r="153" spans="1:7" x14ac:dyDescent="0.3">
      <c r="A153" t="str">
        <f>Data!A36</f>
        <v>ELE0035</v>
      </c>
      <c r="B153" t="str">
        <f>Data!B36</f>
        <v>Electronics Item 35</v>
      </c>
      <c r="C153" t="str">
        <f>Data!C36</f>
        <v>Category A</v>
      </c>
      <c r="D153" s="2">
        <f>Data!L36</f>
        <v>38998.050000000003</v>
      </c>
      <c r="E153" s="2">
        <f>E152+D153</f>
        <v>10174105.9</v>
      </c>
      <c r="F153" s="3">
        <f>E153/$E$201</f>
        <v>0.75526671585252247</v>
      </c>
      <c r="G153" s="22" t="str">
        <f>IF(F153&lt;=70%,"A",IF(F153&lt;=90%,"B","C"))</f>
        <v>B</v>
      </c>
    </row>
    <row r="154" spans="1:7" x14ac:dyDescent="0.3">
      <c r="A154" t="str">
        <f>Data!A63</f>
        <v>ELE0062</v>
      </c>
      <c r="B154" t="str">
        <f>Data!B63</f>
        <v>Electronics Item 62</v>
      </c>
      <c r="C154" t="str">
        <f>Data!C63</f>
        <v>Category B</v>
      </c>
      <c r="D154" s="2">
        <f>Data!L63</f>
        <v>13203.36</v>
      </c>
      <c r="E154" s="2">
        <f>E153+D154</f>
        <v>10187309.26</v>
      </c>
      <c r="F154" s="3">
        <f>E154/$E$201</f>
        <v>0.75624685685394633</v>
      </c>
      <c r="G154" s="22" t="str">
        <f>IF(F154&lt;=70%,"A",IF(F154&lt;=90%,"B","C"))</f>
        <v>B</v>
      </c>
    </row>
    <row r="155" spans="1:7" x14ac:dyDescent="0.3">
      <c r="A155" t="str">
        <f>Data!A175</f>
        <v>ELE0174</v>
      </c>
      <c r="B155" t="str">
        <f>Data!B175</f>
        <v>Electronics Item 174</v>
      </c>
      <c r="C155" t="str">
        <f>Data!C175</f>
        <v>Category B</v>
      </c>
      <c r="D155" s="2">
        <f>Data!L175</f>
        <v>26438.720000000001</v>
      </c>
      <c r="E155" s="2">
        <f>E154+D155</f>
        <v>10213747.98</v>
      </c>
      <c r="F155" s="3">
        <f>E155/$E$201</f>
        <v>0.75820951435152018</v>
      </c>
      <c r="G155" s="22" t="str">
        <f>IF(F155&lt;=70%,"A",IF(F155&lt;=90%,"B","C"))</f>
        <v>B</v>
      </c>
    </row>
    <row r="156" spans="1:7" x14ac:dyDescent="0.3">
      <c r="A156" t="str">
        <f>Data!A76</f>
        <v>ELE0075</v>
      </c>
      <c r="B156" t="str">
        <f>Data!B76</f>
        <v>Electronics Item 75</v>
      </c>
      <c r="C156" t="str">
        <f>Data!C76</f>
        <v>Category C</v>
      </c>
      <c r="D156" s="2">
        <f>Data!L76</f>
        <v>66889.69</v>
      </c>
      <c r="E156" s="2">
        <f>E155+D156</f>
        <v>10280637.67</v>
      </c>
      <c r="F156" s="3">
        <f>E156/$E$201</f>
        <v>0.76317501765837026</v>
      </c>
      <c r="G156" s="22" t="str">
        <f>IF(F156&lt;=70%,"A",IF(F156&lt;=90%,"B","C"))</f>
        <v>B</v>
      </c>
    </row>
    <row r="157" spans="1:7" x14ac:dyDescent="0.3">
      <c r="A157" t="str">
        <f>Data!A109</f>
        <v>ELE0108</v>
      </c>
      <c r="B157" t="str">
        <f>Data!B109</f>
        <v>Electronics Item 108</v>
      </c>
      <c r="C157" t="str">
        <f>Data!C109</f>
        <v>Category B</v>
      </c>
      <c r="D157" s="2">
        <f>Data!L109</f>
        <v>124803.2</v>
      </c>
      <c r="E157" s="2">
        <f>E156+D157</f>
        <v>10405440.869999999</v>
      </c>
      <c r="F157" s="3">
        <f>E157/$E$201</f>
        <v>0.77243968463926782</v>
      </c>
      <c r="G157" s="22" t="str">
        <f>IF(F157&lt;=70%,"A",IF(F157&lt;=90%,"B","C"))</f>
        <v>B</v>
      </c>
    </row>
    <row r="158" spans="1:7" x14ac:dyDescent="0.3">
      <c r="A158" t="str">
        <f>Data!A170</f>
        <v>ELE0169</v>
      </c>
      <c r="B158" t="str">
        <f>Data!B170</f>
        <v>Electronics Item 169</v>
      </c>
      <c r="C158" t="str">
        <f>Data!C170</f>
        <v>Category B</v>
      </c>
      <c r="D158" s="2">
        <f>Data!L170</f>
        <v>70761.899999999994</v>
      </c>
      <c r="E158" s="2">
        <f>E157+D158</f>
        <v>10476202.77</v>
      </c>
      <c r="F158" s="3">
        <f>E158/$E$201</f>
        <v>0.77769263839714886</v>
      </c>
      <c r="G158" s="22" t="str">
        <f>IF(F158&lt;=70%,"A",IF(F158&lt;=90%,"B","C"))</f>
        <v>B</v>
      </c>
    </row>
    <row r="159" spans="1:7" x14ac:dyDescent="0.3">
      <c r="A159" t="str">
        <f>Data!A113</f>
        <v>ELE0112</v>
      </c>
      <c r="B159" t="str">
        <f>Data!B113</f>
        <v>Electronics Item 112</v>
      </c>
      <c r="C159" t="str">
        <f>Data!C113</f>
        <v>Category A</v>
      </c>
      <c r="D159" s="2">
        <f>Data!L113</f>
        <v>40588.35</v>
      </c>
      <c r="E159" s="2">
        <f>E158+D159</f>
        <v>10516791.119999999</v>
      </c>
      <c r="F159" s="3">
        <f>E159/$E$201</f>
        <v>0.78070568250222083</v>
      </c>
      <c r="G159" s="22" t="str">
        <f>IF(F159&lt;=70%,"A",IF(F159&lt;=90%,"B","C"))</f>
        <v>B</v>
      </c>
    </row>
    <row r="160" spans="1:7" x14ac:dyDescent="0.3">
      <c r="A160" t="str">
        <f>Data!A152</f>
        <v>ELE0151</v>
      </c>
      <c r="B160" t="str">
        <f>Data!B152</f>
        <v>Electronics Item 151</v>
      </c>
      <c r="C160" t="str">
        <f>Data!C152</f>
        <v>Category B</v>
      </c>
      <c r="D160" s="2">
        <f>Data!L152</f>
        <v>28218.42</v>
      </c>
      <c r="E160" s="2">
        <f>E159+D160</f>
        <v>10545009.539999999</v>
      </c>
      <c r="F160" s="3">
        <f>E160/$E$201</f>
        <v>0.78280045462366554</v>
      </c>
      <c r="G160" s="22" t="str">
        <f>IF(F160&lt;=70%,"A",IF(F160&lt;=90%,"B","C"))</f>
        <v>B</v>
      </c>
    </row>
    <row r="161" spans="1:7" x14ac:dyDescent="0.3">
      <c r="A161" t="str">
        <f>Data!A148</f>
        <v>ELE0147</v>
      </c>
      <c r="B161" t="str">
        <f>Data!B148</f>
        <v>Electronics Item 147</v>
      </c>
      <c r="C161" t="str">
        <f>Data!C148</f>
        <v>Category C</v>
      </c>
      <c r="D161" s="2">
        <f>Data!L148</f>
        <v>157251.78</v>
      </c>
      <c r="E161" s="2">
        <f>E160+D161</f>
        <v>10702261.319999998</v>
      </c>
      <c r="F161" s="3">
        <f>E161/$E$201</f>
        <v>0.79447391631257558</v>
      </c>
      <c r="G161" s="22" t="str">
        <f>IF(F161&lt;=70%,"A",IF(F161&lt;=90%,"B","C"))</f>
        <v>B</v>
      </c>
    </row>
    <row r="162" spans="1:7" x14ac:dyDescent="0.3">
      <c r="A162" t="str">
        <f>Data!A78</f>
        <v>ELE0077</v>
      </c>
      <c r="B162" t="str">
        <f>Data!B78</f>
        <v>Electronics Item 77</v>
      </c>
      <c r="C162" t="str">
        <f>Data!C78</f>
        <v>Category C</v>
      </c>
      <c r="D162" s="2">
        <f>Data!L78</f>
        <v>44717.61</v>
      </c>
      <c r="E162" s="2">
        <f>E161+D162</f>
        <v>10746978.929999998</v>
      </c>
      <c r="F162" s="3">
        <f>E162/$E$201</f>
        <v>0.79779349277240708</v>
      </c>
      <c r="G162" s="22" t="str">
        <f>IF(F162&lt;=70%,"A",IF(F162&lt;=90%,"B","C"))</f>
        <v>B</v>
      </c>
    </row>
    <row r="163" spans="1:7" x14ac:dyDescent="0.3">
      <c r="A163" t="str">
        <f>Data!A16</f>
        <v>ELE0015</v>
      </c>
      <c r="B163" t="str">
        <f>Data!B16</f>
        <v>Electronics Item 15</v>
      </c>
      <c r="C163" t="str">
        <f>Data!C16</f>
        <v>Category A</v>
      </c>
      <c r="D163" s="2">
        <f>Data!L16</f>
        <v>85910.76</v>
      </c>
      <c r="E163" s="2">
        <f>E162+D163</f>
        <v>10832889.689999998</v>
      </c>
      <c r="F163" s="3">
        <f>E163/$E$201</f>
        <v>0.80417101018763215</v>
      </c>
      <c r="G163" s="22" t="str">
        <f>IF(F163&lt;=70%,"A",IF(F163&lt;=90%,"B","C"))</f>
        <v>B</v>
      </c>
    </row>
    <row r="164" spans="1:7" x14ac:dyDescent="0.3">
      <c r="A164" t="str">
        <f>Data!A137</f>
        <v>ELE0136</v>
      </c>
      <c r="B164" t="str">
        <f>Data!B137</f>
        <v>Electronics Item 136</v>
      </c>
      <c r="C164" t="str">
        <f>Data!C137</f>
        <v>Category C</v>
      </c>
      <c r="D164" s="2">
        <f>Data!L137</f>
        <v>155741.85</v>
      </c>
      <c r="E164" s="2">
        <f>E163+D164</f>
        <v>10988631.539999997</v>
      </c>
      <c r="F164" s="3">
        <f>E164/$E$201</f>
        <v>0.81573238341555343</v>
      </c>
      <c r="G164" s="22" t="str">
        <f>IF(F164&lt;=70%,"A",IF(F164&lt;=90%,"B","C"))</f>
        <v>B</v>
      </c>
    </row>
    <row r="165" spans="1:7" x14ac:dyDescent="0.3">
      <c r="A165" t="str">
        <f>Data!A4</f>
        <v>ELE0003</v>
      </c>
      <c r="B165" t="str">
        <f>Data!B4</f>
        <v>Electronics Item 3</v>
      </c>
      <c r="C165" t="str">
        <f>Data!C4</f>
        <v>Category A</v>
      </c>
      <c r="D165" s="2">
        <f>Data!L4</f>
        <v>4463.5</v>
      </c>
      <c r="E165" s="2">
        <f>E164+D165</f>
        <v>10993095.039999997</v>
      </c>
      <c r="F165" s="3">
        <f>E165/$E$201</f>
        <v>0.81606372781272629</v>
      </c>
      <c r="G165" s="22" t="str">
        <f>IF(F165&lt;=70%,"A",IF(F165&lt;=90%,"B","C"))</f>
        <v>B</v>
      </c>
    </row>
    <row r="166" spans="1:7" x14ac:dyDescent="0.3">
      <c r="A166" t="str">
        <f>Data!A57</f>
        <v>ELE0056</v>
      </c>
      <c r="B166" t="str">
        <f>Data!B57</f>
        <v>Electronics Item 56</v>
      </c>
      <c r="C166" t="str">
        <f>Data!C57</f>
        <v>Category C</v>
      </c>
      <c r="D166" s="2">
        <f>Data!L57</f>
        <v>2865.01</v>
      </c>
      <c r="E166" s="2">
        <f>E165+D166</f>
        <v>10995960.049999997</v>
      </c>
      <c r="F166" s="3">
        <f>E166/$E$201</f>
        <v>0.81627640956725611</v>
      </c>
      <c r="G166" s="22" t="str">
        <f>IF(F166&lt;=70%,"A",IF(F166&lt;=90%,"B","C"))</f>
        <v>B</v>
      </c>
    </row>
    <row r="167" spans="1:7" x14ac:dyDescent="0.3">
      <c r="A167" t="str">
        <f>Data!A71</f>
        <v>ELE0070</v>
      </c>
      <c r="B167" t="str">
        <f>Data!B71</f>
        <v>Electronics Item 70</v>
      </c>
      <c r="C167" t="str">
        <f>Data!C71</f>
        <v>Category B</v>
      </c>
      <c r="D167" s="2">
        <f>Data!L71</f>
        <v>73508.72</v>
      </c>
      <c r="E167" s="2">
        <f>E166+D167</f>
        <v>11069468.769999998</v>
      </c>
      <c r="F167" s="3">
        <f>E167/$E$201</f>
        <v>0.82173327133836493</v>
      </c>
      <c r="G167" s="22" t="str">
        <f>IF(F167&lt;=70%,"A",IF(F167&lt;=90%,"B","C"))</f>
        <v>B</v>
      </c>
    </row>
    <row r="168" spans="1:7" x14ac:dyDescent="0.3">
      <c r="A168" t="str">
        <f>Data!A60</f>
        <v>ELE0059</v>
      </c>
      <c r="B168" t="str">
        <f>Data!B60</f>
        <v>Electronics Item 59</v>
      </c>
      <c r="C168" t="str">
        <f>Data!C60</f>
        <v>Category A</v>
      </c>
      <c r="D168" s="2">
        <f>Data!L60</f>
        <v>92119.98</v>
      </c>
      <c r="E168" s="2">
        <f>E167+D168</f>
        <v>11161588.749999998</v>
      </c>
      <c r="F168" s="3">
        <f>E168/$E$201</f>
        <v>0.82857172529617173</v>
      </c>
      <c r="G168" s="22" t="str">
        <f>IF(F168&lt;=70%,"A",IF(F168&lt;=90%,"B","C"))</f>
        <v>B</v>
      </c>
    </row>
    <row r="169" spans="1:7" x14ac:dyDescent="0.3">
      <c r="A169" t="str">
        <f>Data!A97</f>
        <v>ELE0096</v>
      </c>
      <c r="B169" t="str">
        <f>Data!B97</f>
        <v>Electronics Item 96</v>
      </c>
      <c r="C169" t="str">
        <f>Data!C97</f>
        <v>Category B</v>
      </c>
      <c r="D169" s="2">
        <f>Data!L97</f>
        <v>86593.919999999998</v>
      </c>
      <c r="E169" s="2">
        <f>E168+D169</f>
        <v>11248182.669999998</v>
      </c>
      <c r="F169" s="3">
        <f>E169/$E$201</f>
        <v>0.83499995655442871</v>
      </c>
      <c r="G169" s="22" t="str">
        <f>IF(F169&lt;=70%,"A",IF(F169&lt;=90%,"B","C"))</f>
        <v>B</v>
      </c>
    </row>
    <row r="170" spans="1:7" x14ac:dyDescent="0.3">
      <c r="A170" t="str">
        <f>Data!A49</f>
        <v>ELE0048</v>
      </c>
      <c r="B170" t="str">
        <f>Data!B49</f>
        <v>Electronics Item 48</v>
      </c>
      <c r="C170" t="str">
        <f>Data!C49</f>
        <v>Category C</v>
      </c>
      <c r="D170" s="2">
        <f>Data!L49</f>
        <v>115130.7</v>
      </c>
      <c r="E170" s="2">
        <f>E169+D170</f>
        <v>11363313.369999997</v>
      </c>
      <c r="F170" s="3">
        <f>E170/$E$201</f>
        <v>0.84354659313728564</v>
      </c>
      <c r="G170" s="22" t="str">
        <f>IF(F170&lt;=70%,"A",IF(F170&lt;=90%,"B","C"))</f>
        <v>B</v>
      </c>
    </row>
    <row r="171" spans="1:7" x14ac:dyDescent="0.3">
      <c r="A171" t="str">
        <f>Data!A25</f>
        <v>ELE0024</v>
      </c>
      <c r="B171" t="str">
        <f>Data!B25</f>
        <v>Electronics Item 24</v>
      </c>
      <c r="C171" t="str">
        <f>Data!C25</f>
        <v>Category C</v>
      </c>
      <c r="D171" s="2">
        <f>Data!L25</f>
        <v>68175.8</v>
      </c>
      <c r="E171" s="2">
        <f>E170+D171</f>
        <v>11431489.169999998</v>
      </c>
      <c r="F171" s="3">
        <f>E171/$E$201</f>
        <v>0.84860756980420038</v>
      </c>
      <c r="G171" s="22" t="str">
        <f>IF(F171&lt;=70%,"A",IF(F171&lt;=90%,"B","C"))</f>
        <v>B</v>
      </c>
    </row>
    <row r="172" spans="1:7" x14ac:dyDescent="0.3">
      <c r="A172" t="str">
        <f>Data!A100</f>
        <v>ELE0099</v>
      </c>
      <c r="B172" t="str">
        <f>Data!B100</f>
        <v>Electronics Item 99</v>
      </c>
      <c r="C172" t="str">
        <f>Data!C100</f>
        <v>Category B</v>
      </c>
      <c r="D172" s="2">
        <f>Data!L100</f>
        <v>127941.44</v>
      </c>
      <c r="E172" s="2">
        <f>E171+D172</f>
        <v>11559430.609999998</v>
      </c>
      <c r="F172" s="3">
        <f>E172/$E$201</f>
        <v>0.85810520155287739</v>
      </c>
      <c r="G172" s="22" t="str">
        <f>IF(F172&lt;=70%,"A",IF(F172&lt;=90%,"B","C"))</f>
        <v>B</v>
      </c>
    </row>
    <row r="173" spans="1:7" x14ac:dyDescent="0.3">
      <c r="A173" t="str">
        <f>Data!A55</f>
        <v>ELE0054</v>
      </c>
      <c r="B173" t="str">
        <f>Data!B55</f>
        <v>Electronics Item 54</v>
      </c>
      <c r="C173" t="str">
        <f>Data!C55</f>
        <v>Category B</v>
      </c>
      <c r="D173" s="2">
        <f>Data!L55</f>
        <v>72791.850000000006</v>
      </c>
      <c r="E173" s="2">
        <f>E172+D173</f>
        <v>11632222.459999997</v>
      </c>
      <c r="F173" s="3">
        <f>E173/$E$201</f>
        <v>0.86350884704572894</v>
      </c>
      <c r="G173" s="22" t="str">
        <f>IF(F173&lt;=70%,"A",IF(F173&lt;=90%,"B","C"))</f>
        <v>B</v>
      </c>
    </row>
    <row r="174" spans="1:7" x14ac:dyDescent="0.3">
      <c r="A174" t="str">
        <f>Data!A42</f>
        <v>ELE0041</v>
      </c>
      <c r="B174" t="str">
        <f>Data!B42</f>
        <v>Electronics Item 41</v>
      </c>
      <c r="C174" t="str">
        <f>Data!C42</f>
        <v>Category C</v>
      </c>
      <c r="D174" s="2">
        <f>Data!L42</f>
        <v>102527.95</v>
      </c>
      <c r="E174" s="2">
        <f>E173+D174</f>
        <v>11734750.409999996</v>
      </c>
      <c r="F174" s="3">
        <f>E174/$E$201</f>
        <v>0.87111992843614294</v>
      </c>
      <c r="G174" s="22" t="str">
        <f>IF(F174&lt;=70%,"A",IF(F174&lt;=90%,"B","C"))</f>
        <v>B</v>
      </c>
    </row>
    <row r="175" spans="1:7" x14ac:dyDescent="0.3">
      <c r="A175" t="str">
        <f>Data!A169</f>
        <v>ELE0168</v>
      </c>
      <c r="B175" t="str">
        <f>Data!B169</f>
        <v>Electronics Item 168</v>
      </c>
      <c r="C175" t="str">
        <f>Data!C169</f>
        <v>Category A</v>
      </c>
      <c r="D175" s="2">
        <f>Data!L169</f>
        <v>3534.98</v>
      </c>
      <c r="E175" s="2">
        <f>E174+D175</f>
        <v>11738285.389999997</v>
      </c>
      <c r="F175" s="3">
        <f>E175/$E$201</f>
        <v>0.87138234488447219</v>
      </c>
      <c r="G175" s="22" t="str">
        <f>IF(F175&lt;=70%,"A",IF(F175&lt;=90%,"B","C"))</f>
        <v>B</v>
      </c>
    </row>
    <row r="176" spans="1:7" x14ac:dyDescent="0.3">
      <c r="A176" t="str">
        <f>Data!A91</f>
        <v>ELE0090</v>
      </c>
      <c r="B176" t="str">
        <f>Data!B91</f>
        <v>Electronics Item 90</v>
      </c>
      <c r="C176" t="str">
        <f>Data!C91</f>
        <v>Category A</v>
      </c>
      <c r="D176" s="2">
        <f>Data!L91</f>
        <v>88834.2</v>
      </c>
      <c r="E176" s="2">
        <f>E175+D176</f>
        <v>11827119.589999996</v>
      </c>
      <c r="F176" s="3">
        <f>E176/$E$201</f>
        <v>0.87797688155912845</v>
      </c>
      <c r="G176" s="22" t="str">
        <f>IF(F176&lt;=70%,"A",IF(F176&lt;=90%,"B","C"))</f>
        <v>B</v>
      </c>
    </row>
    <row r="177" spans="1:7" x14ac:dyDescent="0.3">
      <c r="A177" t="str">
        <f>Data!A147</f>
        <v>ELE0146</v>
      </c>
      <c r="B177" t="str">
        <f>Data!B147</f>
        <v>Electronics Item 146</v>
      </c>
      <c r="C177" t="str">
        <f>Data!C147</f>
        <v>Category A</v>
      </c>
      <c r="D177" s="2">
        <f>Data!L147</f>
        <v>116386.24000000001</v>
      </c>
      <c r="E177" s="2">
        <f>E176+D177</f>
        <v>11943505.829999996</v>
      </c>
      <c r="F177" s="3">
        <f>E177/$E$201</f>
        <v>0.88661672216224452</v>
      </c>
      <c r="G177" s="22" t="str">
        <f>IF(F177&lt;=70%,"A",IF(F177&lt;=90%,"B","C"))</f>
        <v>B</v>
      </c>
    </row>
    <row r="178" spans="1:7" x14ac:dyDescent="0.3">
      <c r="A178" t="str">
        <f>Data!A156</f>
        <v>ELE0155</v>
      </c>
      <c r="B178" t="str">
        <f>Data!B156</f>
        <v>Electronics Item 155</v>
      </c>
      <c r="C178" t="str">
        <f>Data!C156</f>
        <v>Category C</v>
      </c>
      <c r="D178" s="2">
        <f>Data!L156</f>
        <v>8552.16</v>
      </c>
      <c r="E178" s="2">
        <f>E177+D178</f>
        <v>11952057.989999996</v>
      </c>
      <c r="F178" s="3">
        <f>E178/$E$201</f>
        <v>0.88725158500524337</v>
      </c>
      <c r="G178" s="22" t="str">
        <f>IF(F178&lt;=70%,"A",IF(F178&lt;=90%,"B","C"))</f>
        <v>B</v>
      </c>
    </row>
    <row r="179" spans="1:7" x14ac:dyDescent="0.3">
      <c r="A179" t="str">
        <f>Data!A85</f>
        <v>ELE0084</v>
      </c>
      <c r="B179" t="str">
        <f>Data!B85</f>
        <v>Electronics Item 84</v>
      </c>
      <c r="C179" t="str">
        <f>Data!C85</f>
        <v>Category A</v>
      </c>
      <c r="D179" s="2">
        <f>Data!L85</f>
        <v>16237.65</v>
      </c>
      <c r="E179" s="2">
        <f>E178+D179</f>
        <v>11968295.639999997</v>
      </c>
      <c r="F179" s="3">
        <f>E179/$E$201</f>
        <v>0.88845697412829772</v>
      </c>
      <c r="G179" s="22" t="str">
        <f>IF(F179&lt;=70%,"A",IF(F179&lt;=90%,"B","C"))</f>
        <v>B</v>
      </c>
    </row>
    <row r="180" spans="1:7" x14ac:dyDescent="0.3">
      <c r="A180" t="str">
        <f>Data!A179</f>
        <v>ELE0178</v>
      </c>
      <c r="B180" t="str">
        <f>Data!B179</f>
        <v>Electronics Item 178</v>
      </c>
      <c r="C180" t="str">
        <f>Data!C179</f>
        <v>Category C</v>
      </c>
      <c r="D180" s="2">
        <f>Data!L179</f>
        <v>212017</v>
      </c>
      <c r="E180" s="2">
        <f>E179+D180</f>
        <v>12180312.639999997</v>
      </c>
      <c r="F180" s="3">
        <f>E180/$E$201</f>
        <v>0.90419588866966338</v>
      </c>
      <c r="G180" s="22" t="str">
        <f>IF(F180&lt;=70%,"A",IF(F180&lt;=90%,"B","C"))</f>
        <v>C</v>
      </c>
    </row>
    <row r="181" spans="1:7" x14ac:dyDescent="0.3">
      <c r="A181" t="str">
        <f>Data!A80</f>
        <v>ELE0079</v>
      </c>
      <c r="B181" t="str">
        <f>Data!B80</f>
        <v>Electronics Item 79</v>
      </c>
      <c r="C181" t="str">
        <f>Data!C80</f>
        <v>Category B</v>
      </c>
      <c r="D181" s="2">
        <f>Data!L80</f>
        <v>45301.72</v>
      </c>
      <c r="E181" s="2">
        <f>E180+D181</f>
        <v>12225614.359999998</v>
      </c>
      <c r="F181" s="3">
        <f>E181/$E$201</f>
        <v>0.90755882607400784</v>
      </c>
      <c r="G181" s="22" t="str">
        <f>IF(F181&lt;=70%,"A",IF(F181&lt;=90%,"B","C"))</f>
        <v>C</v>
      </c>
    </row>
    <row r="182" spans="1:7" x14ac:dyDescent="0.3">
      <c r="A182" t="str">
        <f>Data!A162</f>
        <v>ELE0161</v>
      </c>
      <c r="B182" t="str">
        <f>Data!B162</f>
        <v>Electronics Item 161</v>
      </c>
      <c r="C182" t="str">
        <f>Data!C162</f>
        <v>Category C</v>
      </c>
      <c r="D182" s="2">
        <f>Data!L162</f>
        <v>21171.46</v>
      </c>
      <c r="E182" s="2">
        <f>E181+D182</f>
        <v>12246785.819999998</v>
      </c>
      <c r="F182" s="3">
        <f>E182/$E$201</f>
        <v>0.90913047268562841</v>
      </c>
      <c r="G182" s="22" t="str">
        <f>IF(F182&lt;=70%,"A",IF(F182&lt;=90%,"B","C"))</f>
        <v>C</v>
      </c>
    </row>
    <row r="183" spans="1:7" x14ac:dyDescent="0.3">
      <c r="A183" t="str">
        <f>Data!A181</f>
        <v>ELE0180</v>
      </c>
      <c r="B183" t="str">
        <f>Data!B181</f>
        <v>Electronics Item 180</v>
      </c>
      <c r="C183" t="str">
        <f>Data!C181</f>
        <v>Category B</v>
      </c>
      <c r="D183" s="2">
        <f>Data!L181</f>
        <v>58433.34</v>
      </c>
      <c r="E183" s="2">
        <f>E182+D183</f>
        <v>12305219.159999998</v>
      </c>
      <c r="F183" s="3">
        <f>E183/$E$201</f>
        <v>0.91346822552915774</v>
      </c>
      <c r="G183" s="22" t="str">
        <f>IF(F183&lt;=70%,"A",IF(F183&lt;=90%,"B","C"))</f>
        <v>C</v>
      </c>
    </row>
    <row r="184" spans="1:7" x14ac:dyDescent="0.3">
      <c r="A184" t="str">
        <f>Data!A41</f>
        <v>ELE0040</v>
      </c>
      <c r="B184" t="str">
        <f>Data!B41</f>
        <v>Electronics Item 40</v>
      </c>
      <c r="C184" t="str">
        <f>Data!C41</f>
        <v>Category B</v>
      </c>
      <c r="D184" s="2">
        <f>Data!L41</f>
        <v>21126.76</v>
      </c>
      <c r="E184" s="2">
        <f>E183+D184</f>
        <v>12326345.919999998</v>
      </c>
      <c r="F184" s="3">
        <f>E184/$E$201</f>
        <v>0.91503655387158278</v>
      </c>
      <c r="G184" s="22" t="str">
        <f>IF(F184&lt;=70%,"A",IF(F184&lt;=90%,"B","C"))</f>
        <v>C</v>
      </c>
    </row>
    <row r="185" spans="1:7" x14ac:dyDescent="0.3">
      <c r="A185" t="str">
        <f>Data!A69</f>
        <v>ELE0068</v>
      </c>
      <c r="B185" t="str">
        <f>Data!B69</f>
        <v>Electronics Item 68</v>
      </c>
      <c r="C185" t="str">
        <f>Data!C69</f>
        <v>Category A</v>
      </c>
      <c r="D185" s="2">
        <f>Data!L69</f>
        <v>196080</v>
      </c>
      <c r="E185" s="2">
        <f>E184+D185</f>
        <v>12522425.919999998</v>
      </c>
      <c r="F185" s="3">
        <f>E185/$E$201</f>
        <v>0.9295923978051871</v>
      </c>
      <c r="G185" s="22" t="str">
        <f>IF(F185&lt;=70%,"A",IF(F185&lt;=90%,"B","C"))</f>
        <v>C</v>
      </c>
    </row>
    <row r="186" spans="1:7" x14ac:dyDescent="0.3">
      <c r="A186" t="str">
        <f>Data!A75</f>
        <v>ELE0074</v>
      </c>
      <c r="B186" t="str">
        <f>Data!B75</f>
        <v>Electronics Item 74</v>
      </c>
      <c r="C186" t="str">
        <f>Data!C75</f>
        <v>Category A</v>
      </c>
      <c r="D186" s="2">
        <f>Data!L75</f>
        <v>2885.79</v>
      </c>
      <c r="E186" s="2">
        <f>E185+D186</f>
        <v>12525311.709999997</v>
      </c>
      <c r="F186" s="3">
        <f>E186/$E$201</f>
        <v>0.92980662214660459</v>
      </c>
      <c r="G186" s="22" t="str">
        <f>IF(F186&lt;=70%,"A",IF(F186&lt;=90%,"B","C"))</f>
        <v>C</v>
      </c>
    </row>
    <row r="187" spans="1:7" x14ac:dyDescent="0.3">
      <c r="A187" t="str">
        <f>Data!A150</f>
        <v>ELE0149</v>
      </c>
      <c r="B187" t="str">
        <f>Data!B150</f>
        <v>Electronics Item 149</v>
      </c>
      <c r="C187" t="str">
        <f>Data!C150</f>
        <v>Category B</v>
      </c>
      <c r="D187" s="2">
        <f>Data!L150</f>
        <v>74746.92</v>
      </c>
      <c r="E187" s="2">
        <f>E186+D187</f>
        <v>12600058.629999997</v>
      </c>
      <c r="F187" s="3">
        <f>E187/$E$201</f>
        <v>0.93535540071676782</v>
      </c>
      <c r="G187" s="22" t="str">
        <f>IF(F187&lt;=70%,"A",IF(F187&lt;=90%,"B","C"))</f>
        <v>C</v>
      </c>
    </row>
    <row r="188" spans="1:7" x14ac:dyDescent="0.3">
      <c r="A188" t="str">
        <f>Data!A178</f>
        <v>ELE0177</v>
      </c>
      <c r="B188" t="str">
        <f>Data!B178</f>
        <v>Electronics Item 177</v>
      </c>
      <c r="C188" t="str">
        <f>Data!C178</f>
        <v>Category B</v>
      </c>
      <c r="D188" s="2">
        <f>Data!L178</f>
        <v>41057.279999999999</v>
      </c>
      <c r="E188" s="2">
        <f>E187+D188</f>
        <v>12641115.909999996</v>
      </c>
      <c r="F188" s="3">
        <f>E188/$E$201</f>
        <v>0.93840325547002301</v>
      </c>
      <c r="G188" s="22" t="str">
        <f>IF(F188&lt;=70%,"A",IF(F188&lt;=90%,"B","C"))</f>
        <v>C</v>
      </c>
    </row>
    <row r="189" spans="1:7" x14ac:dyDescent="0.3">
      <c r="A189" t="str">
        <f>Data!A153</f>
        <v>ELE0152</v>
      </c>
      <c r="B189" t="str">
        <f>Data!B153</f>
        <v>Electronics Item 152</v>
      </c>
      <c r="C189" t="str">
        <f>Data!C153</f>
        <v>Category A</v>
      </c>
      <c r="D189" s="2">
        <f>Data!L153</f>
        <v>80853.279999999999</v>
      </c>
      <c r="E189" s="2">
        <f>E188+D189</f>
        <v>12721969.189999996</v>
      </c>
      <c r="F189" s="3">
        <f>E189/$E$201</f>
        <v>0.94440533485190803</v>
      </c>
      <c r="G189" s="22" t="str">
        <f>IF(F189&lt;=70%,"A",IF(F189&lt;=90%,"B","C"))</f>
        <v>C</v>
      </c>
    </row>
    <row r="190" spans="1:7" x14ac:dyDescent="0.3">
      <c r="A190" t="str">
        <f>Data!A123</f>
        <v>ELE0122</v>
      </c>
      <c r="B190" t="str">
        <f>Data!B123</f>
        <v>Electronics Item 122</v>
      </c>
      <c r="C190" t="str">
        <f>Data!C123</f>
        <v>Category B</v>
      </c>
      <c r="D190" s="2">
        <f>Data!L123</f>
        <v>33975.69</v>
      </c>
      <c r="E190" s="2">
        <f>E189+D190</f>
        <v>12755944.879999995</v>
      </c>
      <c r="F190" s="3">
        <f>E190/$E$201</f>
        <v>0.9469274933646401</v>
      </c>
      <c r="G190" s="22" t="str">
        <f>IF(F190&lt;=70%,"A",IF(F190&lt;=90%,"B","C"))</f>
        <v>C</v>
      </c>
    </row>
    <row r="191" spans="1:7" x14ac:dyDescent="0.3">
      <c r="A191" t="str">
        <f>Data!A198</f>
        <v>ELE0197</v>
      </c>
      <c r="B191" t="str">
        <f>Data!B198</f>
        <v>Electronics Item 197</v>
      </c>
      <c r="C191" t="str">
        <f>Data!C198</f>
        <v>Category A</v>
      </c>
      <c r="D191" s="2">
        <f>Data!L198</f>
        <v>8364.8700000000008</v>
      </c>
      <c r="E191" s="2">
        <f>E190+D191</f>
        <v>12764309.749999994</v>
      </c>
      <c r="F191" s="3">
        <f>E191/$E$201</f>
        <v>0.94754845288241285</v>
      </c>
      <c r="G191" s="22" t="str">
        <f>IF(F191&lt;=70%,"A",IF(F191&lt;=90%,"B","C"))</f>
        <v>C</v>
      </c>
    </row>
    <row r="192" spans="1:7" x14ac:dyDescent="0.3">
      <c r="A192" t="str">
        <f>Data!A65</f>
        <v>ELE0064</v>
      </c>
      <c r="B192" t="str">
        <f>Data!B65</f>
        <v>Electronics Item 64</v>
      </c>
      <c r="C192" t="str">
        <f>Data!C65</f>
        <v>Category C</v>
      </c>
      <c r="D192" s="2">
        <f>Data!L65</f>
        <v>39210.21</v>
      </c>
      <c r="E192" s="2">
        <f>E191+D192</f>
        <v>12803519.959999995</v>
      </c>
      <c r="F192" s="3">
        <f>E192/$E$201</f>
        <v>0.95045919185305672</v>
      </c>
      <c r="G192" s="22" t="str">
        <f>IF(F192&lt;=70%,"A",IF(F192&lt;=90%,"B","C"))</f>
        <v>C</v>
      </c>
    </row>
    <row r="193" spans="1:7" x14ac:dyDescent="0.3">
      <c r="A193" t="str">
        <f>Data!A87</f>
        <v>ELE0086</v>
      </c>
      <c r="B193" t="str">
        <f>Data!B87</f>
        <v>Electronics Item 86</v>
      </c>
      <c r="C193" t="str">
        <f>Data!C87</f>
        <v>Category A</v>
      </c>
      <c r="D193" s="2">
        <f>Data!L87</f>
        <v>44186.5</v>
      </c>
      <c r="E193" s="2">
        <f>E192+D193</f>
        <v>12847706.459999995</v>
      </c>
      <c r="F193" s="3">
        <f>E193/$E$201</f>
        <v>0.95373934178151554</v>
      </c>
      <c r="G193" s="22" t="str">
        <f>IF(F193&lt;=70%,"A",IF(F193&lt;=90%,"B","C"))</f>
        <v>C</v>
      </c>
    </row>
    <row r="194" spans="1:7" x14ac:dyDescent="0.3">
      <c r="A194" t="str">
        <f>Data!A70</f>
        <v>ELE0069</v>
      </c>
      <c r="B194" t="str">
        <f>Data!B70</f>
        <v>Electronics Item 69</v>
      </c>
      <c r="C194" t="str">
        <f>Data!C70</f>
        <v>Category A</v>
      </c>
      <c r="D194" s="2">
        <f>Data!L70</f>
        <v>19148.099999999999</v>
      </c>
      <c r="E194" s="2">
        <f>E193+D194</f>
        <v>12866854.559999995</v>
      </c>
      <c r="F194" s="3">
        <f>E194/$E$201</f>
        <v>0.95516078586161068</v>
      </c>
      <c r="G194" s="22" t="str">
        <f>IF(F194&lt;=70%,"A",IF(F194&lt;=90%,"B","C"))</f>
        <v>C</v>
      </c>
    </row>
    <row r="195" spans="1:7" x14ac:dyDescent="0.3">
      <c r="A195" t="str">
        <f>Data!A146</f>
        <v>ELE0145</v>
      </c>
      <c r="B195" t="str">
        <f>Data!B146</f>
        <v>Electronics Item 145</v>
      </c>
      <c r="C195" t="str">
        <f>Data!C146</f>
        <v>Category C</v>
      </c>
      <c r="D195" s="2">
        <f>Data!L146</f>
        <v>2721.36</v>
      </c>
      <c r="E195" s="2">
        <f>E194+D195</f>
        <v>12869575.919999994</v>
      </c>
      <c r="F195" s="3">
        <f>E195/$E$201</f>
        <v>0.95536280387184702</v>
      </c>
      <c r="G195" s="22" t="str">
        <f>IF(F195&lt;=70%,"A",IF(F195&lt;=90%,"B","C"))</f>
        <v>C</v>
      </c>
    </row>
    <row r="196" spans="1:7" x14ac:dyDescent="0.3">
      <c r="A196" t="str">
        <f>Data!A58</f>
        <v>ELE0057</v>
      </c>
      <c r="B196" t="str">
        <f>Data!B58</f>
        <v>Electronics Item 57</v>
      </c>
      <c r="C196" t="str">
        <f>Data!C58</f>
        <v>Category A</v>
      </c>
      <c r="D196" s="2">
        <f>Data!L58</f>
        <v>8562.33</v>
      </c>
      <c r="E196" s="2">
        <f>E195+D196</f>
        <v>12878138.249999994</v>
      </c>
      <c r="F196" s="3">
        <f>E196/$E$201</f>
        <v>0.95599842167676352</v>
      </c>
      <c r="G196" s="22" t="str">
        <f>IF(F196&lt;=70%,"A",IF(F196&lt;=90%,"B","C"))</f>
        <v>C</v>
      </c>
    </row>
    <row r="197" spans="1:7" x14ac:dyDescent="0.3">
      <c r="A197" t="str">
        <f>Data!A33</f>
        <v>ELE0032</v>
      </c>
      <c r="B197" t="str">
        <f>Data!B33</f>
        <v>Electronics Item 32</v>
      </c>
      <c r="C197" t="str">
        <f>Data!C33</f>
        <v>Category A</v>
      </c>
      <c r="D197" s="2">
        <f>Data!L33</f>
        <v>107390.3</v>
      </c>
      <c r="E197" s="2">
        <f>E196+D197</f>
        <v>12985528.549999995</v>
      </c>
      <c r="F197" s="3">
        <f>E197/$E$201</f>
        <v>0.96397045577908369</v>
      </c>
      <c r="G197" s="22" t="str">
        <f>IF(F197&lt;=70%,"A",IF(F197&lt;=90%,"B","C"))</f>
        <v>C</v>
      </c>
    </row>
    <row r="198" spans="1:7" x14ac:dyDescent="0.3">
      <c r="A198" t="str">
        <f>Data!A143</f>
        <v>ELE0142</v>
      </c>
      <c r="B198" t="str">
        <f>Data!B143</f>
        <v>Electronics Item 142</v>
      </c>
      <c r="C198" t="str">
        <f>Data!C143</f>
        <v>Category A</v>
      </c>
      <c r="D198" s="2">
        <f>Data!L143</f>
        <v>144750.85999999999</v>
      </c>
      <c r="E198" s="2">
        <f>E197+D198</f>
        <v>13130279.409999995</v>
      </c>
      <c r="F198" s="3">
        <f>E198/$E$201</f>
        <v>0.97471592154517406</v>
      </c>
      <c r="G198" s="22" t="str">
        <f>IF(F198&lt;=70%,"A",IF(F198&lt;=90%,"B","C"))</f>
        <v>C</v>
      </c>
    </row>
    <row r="199" spans="1:7" x14ac:dyDescent="0.3">
      <c r="A199" t="str">
        <f>Data!A134</f>
        <v>ELE0133</v>
      </c>
      <c r="B199" t="str">
        <f>Data!B134</f>
        <v>Electronics Item 133</v>
      </c>
      <c r="C199" t="str">
        <f>Data!C134</f>
        <v>Category C</v>
      </c>
      <c r="D199" s="2">
        <f>Data!L134</f>
        <v>38531.25</v>
      </c>
      <c r="E199" s="2">
        <f>E198+D199</f>
        <v>13168810.659999995</v>
      </c>
      <c r="F199" s="3">
        <f>E199/$E$201</f>
        <v>0.97757625845646889</v>
      </c>
      <c r="G199" s="22" t="str">
        <f>IF(F199&lt;=70%,"A",IF(F199&lt;=90%,"B","C"))</f>
        <v>C</v>
      </c>
    </row>
    <row r="200" spans="1:7" x14ac:dyDescent="0.3">
      <c r="A200" t="str">
        <f>Data!A22</f>
        <v>ELE0021</v>
      </c>
      <c r="B200" t="str">
        <f>Data!B22</f>
        <v>Electronics Item 21</v>
      </c>
      <c r="C200" t="str">
        <f>Data!C22</f>
        <v>Category A</v>
      </c>
      <c r="D200" s="2">
        <f>Data!L22</f>
        <v>135990.39999999999</v>
      </c>
      <c r="E200" s="2">
        <f>E199+D200</f>
        <v>13304801.059999995</v>
      </c>
      <c r="F200" s="3">
        <f>E200/$E$201</f>
        <v>0.98767139839357843</v>
      </c>
      <c r="G200" s="22" t="str">
        <f>IF(F200&lt;=70%,"A",IF(F200&lt;=90%,"B","C"))</f>
        <v>C</v>
      </c>
    </row>
    <row r="201" spans="1:7" x14ac:dyDescent="0.3">
      <c r="A201" t="str">
        <f>Data!A173</f>
        <v>ELE0172</v>
      </c>
      <c r="B201" t="str">
        <f>Data!B173</f>
        <v>Electronics Item 172</v>
      </c>
      <c r="C201" t="str">
        <f>Data!C173</f>
        <v>Category A</v>
      </c>
      <c r="D201" s="2">
        <f>Data!L173</f>
        <v>166077.09</v>
      </c>
      <c r="E201" s="2">
        <f>E200+D201</f>
        <v>13470878.149999995</v>
      </c>
      <c r="F201" s="3">
        <f>E201/$E$201</f>
        <v>1</v>
      </c>
      <c r="G201" s="22" t="str">
        <f>IF(F201&lt;=70%,"A",IF(F201&lt;=90%,"B","C"))</f>
        <v>C</v>
      </c>
    </row>
    <row r="202" spans="1:7" x14ac:dyDescent="0.3">
      <c r="F202" s="3"/>
    </row>
    <row r="203" spans="1:7" x14ac:dyDescent="0.3">
      <c r="F203" s="3"/>
    </row>
    <row r="204" spans="1:7" x14ac:dyDescent="0.3">
      <c r="F204" s="3"/>
    </row>
  </sheetData>
  <sortState ref="A2:G201">
    <sortCondition descending="1" ref="D2:D201"/>
  </sortState>
  <conditionalFormatting sqref="G2:G201">
    <cfRule type="cellIs" dxfId="21" priority="1" operator="equal">
      <formula>"C"</formula>
    </cfRule>
    <cfRule type="cellIs" dxfId="20" priority="2" operator="equal">
      <formula>"B"</formula>
    </cfRule>
    <cfRule type="cellIs" dxfId="19" priority="3" operator="equal">
      <formula>"A"</formula>
    </cfRule>
    <cfRule type="cellIs" dxfId="18" priority="4" operator="equal">
      <formula>"A"</formula>
    </cfRule>
  </conditionalFormatting>
  <pageMargins left="0.75" right="0.75" top="1" bottom="1" header="0.511811023622047" footer="0.511811023622047"/>
  <pageSetup paperSize="9" orientation="portrait" horizontalDpi="300" verticalDpi="300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1"/>
  <sheetViews>
    <sheetView tabSelected="1" zoomScaleNormal="100" workbookViewId="0">
      <selection activeCell="N25" sqref="N25"/>
    </sheetView>
  </sheetViews>
  <sheetFormatPr defaultColWidth="8.6640625" defaultRowHeight="14.4" x14ac:dyDescent="0.3"/>
  <cols>
    <col min="2" max="2" width="18.44140625" customWidth="1"/>
    <col min="3" max="3" width="13.77734375" customWidth="1"/>
    <col min="4" max="4" width="12.88671875" customWidth="1"/>
    <col min="6" max="6" width="14.33203125" customWidth="1"/>
    <col min="7" max="7" width="12.5546875" customWidth="1"/>
    <col min="8" max="8" width="17.88671875" customWidth="1"/>
    <col min="9" max="9" width="8.44140625" customWidth="1"/>
    <col min="10" max="10" width="21.44140625" customWidth="1"/>
    <col min="11" max="11" width="12.88671875" customWidth="1"/>
    <col min="13" max="13" width="20.109375" customWidth="1"/>
    <col min="14" max="14" width="15.5546875" customWidth="1"/>
    <col min="15" max="16" width="10.109375" bestFit="1" customWidth="1"/>
    <col min="17" max="17" width="10.77734375" bestFit="1" customWidth="1"/>
  </cols>
  <sheetData>
    <row r="1" spans="1:17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479</v>
      </c>
      <c r="G1" t="s">
        <v>480</v>
      </c>
      <c r="H1" t="s">
        <v>481</v>
      </c>
      <c r="I1" t="s">
        <v>482</v>
      </c>
      <c r="J1" t="s">
        <v>504</v>
      </c>
      <c r="K1" t="s">
        <v>483</v>
      </c>
      <c r="M1" s="9" t="s">
        <v>484</v>
      </c>
    </row>
    <row r="2" spans="1:17" x14ac:dyDescent="0.3">
      <c r="A2" t="str">
        <f>Data!A2</f>
        <v>ELE0001</v>
      </c>
      <c r="B2" t="str">
        <f>Data!B2</f>
        <v>Electronics Item 1</v>
      </c>
      <c r="C2" s="2">
        <f>Data!D2</f>
        <v>337</v>
      </c>
      <c r="D2" s="2">
        <f>Data!E2</f>
        <v>78</v>
      </c>
      <c r="E2" s="8">
        <f>Data!F2</f>
        <v>17.38</v>
      </c>
      <c r="F2">
        <f>C2*12</f>
        <v>4044</v>
      </c>
      <c r="G2">
        <v>50</v>
      </c>
      <c r="H2">
        <f>E2*20%</f>
        <v>3.476</v>
      </c>
      <c r="I2">
        <f>ROUND(SQRT((2*F2*G2)/H2),0)</f>
        <v>341</v>
      </c>
      <c r="J2">
        <f>ROUND((F2/365)*180,0)</f>
        <v>1994</v>
      </c>
      <c r="K2" t="str">
        <f>IF(C2&lt;=D2,"Order Now","Stock OK")</f>
        <v>Stock OK</v>
      </c>
      <c r="M2" s="33" t="s">
        <v>485</v>
      </c>
      <c r="N2" s="33" t="s">
        <v>486</v>
      </c>
    </row>
    <row r="3" spans="1:17" x14ac:dyDescent="0.3">
      <c r="A3" t="str">
        <f>Data!A3</f>
        <v>ELE0002</v>
      </c>
      <c r="B3" t="str">
        <f>Data!B3</f>
        <v>Electronics Item 2</v>
      </c>
      <c r="C3" s="2">
        <f>Data!D3</f>
        <v>387</v>
      </c>
      <c r="D3" s="2">
        <f>Data!E3</f>
        <v>76</v>
      </c>
      <c r="E3" s="8">
        <f>Data!F3</f>
        <v>339.97</v>
      </c>
      <c r="F3">
        <f t="shared" ref="F3:F66" si="0">C3*12</f>
        <v>4644</v>
      </c>
      <c r="G3">
        <v>50</v>
      </c>
      <c r="H3">
        <f t="shared" ref="H3:H66" si="1">E3*20%</f>
        <v>67.994000000000014</v>
      </c>
      <c r="I3">
        <f t="shared" ref="I3:I66" si="2">ROUND(SQRT((2*F3*G3)/H3),0)</f>
        <v>83</v>
      </c>
      <c r="J3">
        <f t="shared" ref="J3:J66" si="3">ROUND((F3/365)*180,0)</f>
        <v>2290</v>
      </c>
      <c r="K3" t="str">
        <f t="shared" ref="K3:K66" si="4">IF(C3&lt;=D3,"Order Now","Stock OK")</f>
        <v>Stock OK</v>
      </c>
      <c r="M3" t="s">
        <v>487</v>
      </c>
      <c r="N3">
        <f>COUNTA(A2:A201)</f>
        <v>200</v>
      </c>
    </row>
    <row r="4" spans="1:17" x14ac:dyDescent="0.3">
      <c r="A4" t="str">
        <f>Data!A4</f>
        <v>ELE0003</v>
      </c>
      <c r="B4" t="str">
        <f>Data!B4</f>
        <v>Electronics Item 3</v>
      </c>
      <c r="C4" s="2">
        <f>Data!D4</f>
        <v>226</v>
      </c>
      <c r="D4" s="2">
        <f>Data!E4</f>
        <v>58</v>
      </c>
      <c r="E4" s="8">
        <f>Data!F4</f>
        <v>19.75</v>
      </c>
      <c r="F4">
        <f t="shared" si="0"/>
        <v>2712</v>
      </c>
      <c r="G4">
        <v>50</v>
      </c>
      <c r="H4">
        <f t="shared" si="1"/>
        <v>3.95</v>
      </c>
      <c r="I4">
        <f t="shared" si="2"/>
        <v>262</v>
      </c>
      <c r="J4">
        <f t="shared" si="3"/>
        <v>1337</v>
      </c>
      <c r="K4" t="str">
        <f t="shared" si="4"/>
        <v>Stock OK</v>
      </c>
      <c r="M4" t="s">
        <v>488</v>
      </c>
      <c r="N4">
        <f>COUNTIF(K2:K201,"Order Now")</f>
        <v>47</v>
      </c>
    </row>
    <row r="5" spans="1:17" x14ac:dyDescent="0.3">
      <c r="A5" t="str">
        <f>Data!A5</f>
        <v>ELE0004</v>
      </c>
      <c r="B5" t="str">
        <f>Data!B5</f>
        <v>Electronics Item 4</v>
      </c>
      <c r="C5" s="2">
        <f>Data!D5</f>
        <v>23</v>
      </c>
      <c r="D5" s="2">
        <f>Data!E5</f>
        <v>193</v>
      </c>
      <c r="E5" s="8">
        <f>Data!F5</f>
        <v>103.42</v>
      </c>
      <c r="F5">
        <f t="shared" si="0"/>
        <v>276</v>
      </c>
      <c r="G5">
        <v>50</v>
      </c>
      <c r="H5">
        <f t="shared" si="1"/>
        <v>20.684000000000001</v>
      </c>
      <c r="I5">
        <f t="shared" si="2"/>
        <v>37</v>
      </c>
      <c r="J5">
        <f t="shared" si="3"/>
        <v>136</v>
      </c>
      <c r="K5" t="str">
        <f t="shared" si="4"/>
        <v>Order Now</v>
      </c>
      <c r="M5" t="s">
        <v>489</v>
      </c>
      <c r="N5">
        <f>COUNTIF(K2:K201,"Stock OK")</f>
        <v>153</v>
      </c>
    </row>
    <row r="6" spans="1:17" x14ac:dyDescent="0.3">
      <c r="A6" t="str">
        <f>Data!A6</f>
        <v>ELE0005</v>
      </c>
      <c r="B6" t="str">
        <f>Data!B6</f>
        <v>Electronics Item 5</v>
      </c>
      <c r="C6" s="2">
        <f>Data!D6</f>
        <v>122</v>
      </c>
      <c r="D6" s="2">
        <f>Data!E6</f>
        <v>164</v>
      </c>
      <c r="E6" s="8">
        <f>Data!F6</f>
        <v>296.69</v>
      </c>
      <c r="F6">
        <f t="shared" si="0"/>
        <v>1464</v>
      </c>
      <c r="G6">
        <v>50</v>
      </c>
      <c r="H6">
        <f t="shared" si="1"/>
        <v>59.338000000000001</v>
      </c>
      <c r="I6">
        <f t="shared" si="2"/>
        <v>50</v>
      </c>
      <c r="J6">
        <f t="shared" si="3"/>
        <v>722</v>
      </c>
      <c r="K6" t="str">
        <f t="shared" si="4"/>
        <v>Order Now</v>
      </c>
      <c r="M6" t="s">
        <v>490</v>
      </c>
      <c r="N6">
        <f>ROUND(AVERAGE(I2:I201),0)</f>
        <v>90</v>
      </c>
    </row>
    <row r="7" spans="1:17" x14ac:dyDescent="0.3">
      <c r="A7" t="str">
        <f>Data!A7</f>
        <v>ELE0006</v>
      </c>
      <c r="B7" t="str">
        <f>Data!B7</f>
        <v>Electronics Item 6</v>
      </c>
      <c r="C7" s="2">
        <f>Data!D7</f>
        <v>226</v>
      </c>
      <c r="D7" s="2">
        <f>Data!E7</f>
        <v>137</v>
      </c>
      <c r="E7" s="8">
        <f>Data!F7</f>
        <v>142.55000000000001</v>
      </c>
      <c r="F7">
        <f t="shared" si="0"/>
        <v>2712</v>
      </c>
      <c r="G7">
        <v>50</v>
      </c>
      <c r="H7">
        <f t="shared" si="1"/>
        <v>28.510000000000005</v>
      </c>
      <c r="I7">
        <f t="shared" si="2"/>
        <v>98</v>
      </c>
      <c r="J7">
        <f t="shared" si="3"/>
        <v>1337</v>
      </c>
      <c r="K7" t="str">
        <f t="shared" si="4"/>
        <v>Stock OK</v>
      </c>
      <c r="M7" t="s">
        <v>491</v>
      </c>
      <c r="N7">
        <f>ROUND(AVERAGE(J2:J201),0)</f>
        <v>1522</v>
      </c>
    </row>
    <row r="8" spans="1:17" x14ac:dyDescent="0.3">
      <c r="A8" t="str">
        <f>Data!A8</f>
        <v>ELE0007</v>
      </c>
      <c r="B8" t="str">
        <f>Data!B8</f>
        <v>Electronics Item 7</v>
      </c>
      <c r="C8" s="2">
        <f>Data!D8</f>
        <v>204</v>
      </c>
      <c r="D8" s="2">
        <f>Data!E8</f>
        <v>74</v>
      </c>
      <c r="E8" s="8">
        <f>Data!F8</f>
        <v>182.69</v>
      </c>
      <c r="F8">
        <f t="shared" si="0"/>
        <v>2448</v>
      </c>
      <c r="G8">
        <v>50</v>
      </c>
      <c r="H8">
        <f t="shared" si="1"/>
        <v>36.538000000000004</v>
      </c>
      <c r="I8">
        <f t="shared" si="2"/>
        <v>82</v>
      </c>
      <c r="J8">
        <f t="shared" si="3"/>
        <v>1207</v>
      </c>
      <c r="K8" t="str">
        <f t="shared" si="4"/>
        <v>Stock OK</v>
      </c>
    </row>
    <row r="9" spans="1:17" x14ac:dyDescent="0.3">
      <c r="A9" t="str">
        <f>Data!A9</f>
        <v>ELE0008</v>
      </c>
      <c r="B9" t="str">
        <f>Data!B9</f>
        <v>Electronics Item 8</v>
      </c>
      <c r="C9" s="2">
        <f>Data!D9</f>
        <v>383</v>
      </c>
      <c r="D9" s="2">
        <f>Data!E9</f>
        <v>167</v>
      </c>
      <c r="E9" s="8">
        <f>Data!F9</f>
        <v>270.43</v>
      </c>
      <c r="F9">
        <f t="shared" si="0"/>
        <v>4596</v>
      </c>
      <c r="G9">
        <v>50</v>
      </c>
      <c r="H9">
        <f t="shared" si="1"/>
        <v>54.086000000000006</v>
      </c>
      <c r="I9">
        <f t="shared" si="2"/>
        <v>92</v>
      </c>
      <c r="J9">
        <f t="shared" si="3"/>
        <v>2267</v>
      </c>
      <c r="K9" t="str">
        <f t="shared" si="4"/>
        <v>Stock OK</v>
      </c>
    </row>
    <row r="10" spans="1:17" x14ac:dyDescent="0.3">
      <c r="A10" t="str">
        <f>Data!A10</f>
        <v>ELE0009</v>
      </c>
      <c r="B10" t="str">
        <f>Data!B10</f>
        <v>Electronics Item 9</v>
      </c>
      <c r="C10" s="2">
        <f>Data!D10</f>
        <v>160</v>
      </c>
      <c r="D10" s="2">
        <f>Data!E10</f>
        <v>142</v>
      </c>
      <c r="E10" s="8">
        <f>Data!F10</f>
        <v>290.79000000000002</v>
      </c>
      <c r="F10">
        <f t="shared" si="0"/>
        <v>1920</v>
      </c>
      <c r="G10">
        <v>50</v>
      </c>
      <c r="H10">
        <f t="shared" si="1"/>
        <v>58.158000000000008</v>
      </c>
      <c r="I10">
        <f t="shared" si="2"/>
        <v>57</v>
      </c>
      <c r="J10">
        <f t="shared" si="3"/>
        <v>947</v>
      </c>
      <c r="K10" t="str">
        <f t="shared" si="4"/>
        <v>Stock OK</v>
      </c>
    </row>
    <row r="11" spans="1:17" x14ac:dyDescent="0.3">
      <c r="A11" t="str">
        <f>Data!A11</f>
        <v>ELE0010</v>
      </c>
      <c r="B11" t="str">
        <f>Data!B11</f>
        <v>Electronics Item 10</v>
      </c>
      <c r="C11" s="2">
        <f>Data!D11</f>
        <v>126</v>
      </c>
      <c r="D11" s="2">
        <f>Data!E11</f>
        <v>124</v>
      </c>
      <c r="E11" s="8">
        <f>Data!F11</f>
        <v>492.68</v>
      </c>
      <c r="F11">
        <f t="shared" si="0"/>
        <v>1512</v>
      </c>
      <c r="G11">
        <v>50</v>
      </c>
      <c r="H11">
        <f t="shared" si="1"/>
        <v>98.536000000000001</v>
      </c>
      <c r="I11">
        <f t="shared" si="2"/>
        <v>39</v>
      </c>
      <c r="J11">
        <f t="shared" si="3"/>
        <v>746</v>
      </c>
      <c r="K11" t="str">
        <f t="shared" si="4"/>
        <v>Stock OK</v>
      </c>
      <c r="M11" s="6" t="s">
        <v>492</v>
      </c>
      <c r="N11" s="6" t="s">
        <v>493</v>
      </c>
    </row>
    <row r="12" spans="1:17" x14ac:dyDescent="0.3">
      <c r="A12" t="str">
        <f>Data!A12</f>
        <v>ELE0011</v>
      </c>
      <c r="B12" t="str">
        <f>Data!B12</f>
        <v>Electronics Item 11</v>
      </c>
      <c r="C12" s="2">
        <f>Data!D12</f>
        <v>152</v>
      </c>
      <c r="D12" s="2">
        <f>Data!E12</f>
        <v>166</v>
      </c>
      <c r="E12" s="8">
        <f>Data!F12</f>
        <v>319.66000000000003</v>
      </c>
      <c r="F12">
        <f t="shared" si="0"/>
        <v>1824</v>
      </c>
      <c r="G12">
        <v>50</v>
      </c>
      <c r="H12">
        <f t="shared" si="1"/>
        <v>63.932000000000009</v>
      </c>
      <c r="I12">
        <f t="shared" si="2"/>
        <v>53</v>
      </c>
      <c r="J12">
        <f t="shared" si="3"/>
        <v>900</v>
      </c>
      <c r="K12" t="str">
        <f t="shared" si="4"/>
        <v>Order Now</v>
      </c>
      <c r="M12" s="6" t="s">
        <v>477</v>
      </c>
      <c r="N12" t="s">
        <v>23</v>
      </c>
      <c r="O12" t="s">
        <v>42</v>
      </c>
      <c r="P12" t="s">
        <v>16</v>
      </c>
      <c r="Q12" t="s">
        <v>478</v>
      </c>
    </row>
    <row r="13" spans="1:17" x14ac:dyDescent="0.3">
      <c r="A13" t="str">
        <f>Data!A13</f>
        <v>ELE0012</v>
      </c>
      <c r="B13" t="str">
        <f>Data!B13</f>
        <v>Electronics Item 12</v>
      </c>
      <c r="C13" s="2">
        <f>Data!D13</f>
        <v>117</v>
      </c>
      <c r="D13" s="2">
        <f>Data!E13</f>
        <v>118</v>
      </c>
      <c r="E13" s="8">
        <f>Data!F13</f>
        <v>352.4</v>
      </c>
      <c r="F13">
        <f t="shared" si="0"/>
        <v>1404</v>
      </c>
      <c r="G13">
        <v>50</v>
      </c>
      <c r="H13">
        <f t="shared" si="1"/>
        <v>70.48</v>
      </c>
      <c r="I13">
        <f t="shared" si="2"/>
        <v>45</v>
      </c>
      <c r="J13">
        <f t="shared" si="3"/>
        <v>692</v>
      </c>
      <c r="K13" t="str">
        <f t="shared" si="4"/>
        <v>Order Now</v>
      </c>
      <c r="M13" s="7" t="s">
        <v>34</v>
      </c>
      <c r="N13" s="5">
        <v>8037</v>
      </c>
      <c r="O13" s="5">
        <v>4668</v>
      </c>
      <c r="P13" s="5">
        <v>6587</v>
      </c>
      <c r="Q13" s="5">
        <v>19292</v>
      </c>
    </row>
    <row r="14" spans="1:17" x14ac:dyDescent="0.3">
      <c r="A14" t="str">
        <f>Data!A14</f>
        <v>ELE0013</v>
      </c>
      <c r="B14" t="str">
        <f>Data!B14</f>
        <v>Electronics Item 13</v>
      </c>
      <c r="C14" s="2">
        <f>Data!D14</f>
        <v>335</v>
      </c>
      <c r="D14" s="2">
        <f>Data!E14</f>
        <v>93</v>
      </c>
      <c r="E14" s="8">
        <f>Data!F14</f>
        <v>269.39999999999998</v>
      </c>
      <c r="F14">
        <f t="shared" si="0"/>
        <v>4020</v>
      </c>
      <c r="G14">
        <v>50</v>
      </c>
      <c r="H14">
        <f t="shared" si="1"/>
        <v>53.879999999999995</v>
      </c>
      <c r="I14">
        <f t="shared" si="2"/>
        <v>86</v>
      </c>
      <c r="J14">
        <f t="shared" si="3"/>
        <v>1982</v>
      </c>
      <c r="K14" t="str">
        <f t="shared" si="4"/>
        <v>Stock OK</v>
      </c>
      <c r="M14" s="7" t="s">
        <v>24</v>
      </c>
      <c r="N14" s="5">
        <v>6323</v>
      </c>
      <c r="O14" s="5">
        <v>5798</v>
      </c>
      <c r="P14" s="5">
        <v>5815</v>
      </c>
      <c r="Q14" s="5">
        <v>17936</v>
      </c>
    </row>
    <row r="15" spans="1:17" x14ac:dyDescent="0.3">
      <c r="A15" t="str">
        <f>Data!A15</f>
        <v>ELE0014</v>
      </c>
      <c r="B15" t="str">
        <f>Data!B15</f>
        <v>Electronics Item 14</v>
      </c>
      <c r="C15" s="2">
        <f>Data!D15</f>
        <v>148</v>
      </c>
      <c r="D15" s="2">
        <f>Data!E15</f>
        <v>192</v>
      </c>
      <c r="E15" s="8">
        <f>Data!F15</f>
        <v>113.71</v>
      </c>
      <c r="F15">
        <f t="shared" si="0"/>
        <v>1776</v>
      </c>
      <c r="G15">
        <v>50</v>
      </c>
      <c r="H15">
        <f t="shared" si="1"/>
        <v>22.742000000000001</v>
      </c>
      <c r="I15">
        <f t="shared" si="2"/>
        <v>88</v>
      </c>
      <c r="J15">
        <f t="shared" si="3"/>
        <v>876</v>
      </c>
      <c r="K15" t="str">
        <f t="shared" si="4"/>
        <v>Order Now</v>
      </c>
      <c r="M15" s="7" t="s">
        <v>17</v>
      </c>
      <c r="N15" s="5">
        <v>4795</v>
      </c>
      <c r="O15" s="5">
        <v>3731</v>
      </c>
      <c r="P15" s="5">
        <v>4525</v>
      </c>
      <c r="Q15" s="5">
        <v>13051</v>
      </c>
    </row>
    <row r="16" spans="1:17" x14ac:dyDescent="0.3">
      <c r="A16" t="str">
        <f>Data!A16</f>
        <v>ELE0015</v>
      </c>
      <c r="B16" t="str">
        <f>Data!B16</f>
        <v>Electronics Item 15</v>
      </c>
      <c r="C16" s="2">
        <f>Data!D16</f>
        <v>422</v>
      </c>
      <c r="D16" s="2">
        <f>Data!E16</f>
        <v>130</v>
      </c>
      <c r="E16" s="8">
        <f>Data!F16</f>
        <v>203.58</v>
      </c>
      <c r="F16">
        <f t="shared" si="0"/>
        <v>5064</v>
      </c>
      <c r="G16">
        <v>50</v>
      </c>
      <c r="H16">
        <f t="shared" si="1"/>
        <v>40.716000000000008</v>
      </c>
      <c r="I16">
        <f t="shared" si="2"/>
        <v>112</v>
      </c>
      <c r="J16">
        <f t="shared" si="3"/>
        <v>2497</v>
      </c>
      <c r="K16" t="str">
        <f t="shared" si="4"/>
        <v>Stock OK</v>
      </c>
      <c r="M16" s="7" t="s">
        <v>478</v>
      </c>
      <c r="N16" s="5">
        <v>19155</v>
      </c>
      <c r="O16" s="5">
        <v>14197</v>
      </c>
      <c r="P16" s="5">
        <v>16927</v>
      </c>
      <c r="Q16" s="5">
        <v>50279</v>
      </c>
    </row>
    <row r="17" spans="1:11" x14ac:dyDescent="0.3">
      <c r="A17" t="str">
        <f>Data!A17</f>
        <v>ELE0016</v>
      </c>
      <c r="B17" t="str">
        <f>Data!B17</f>
        <v>Electronics Item 16</v>
      </c>
      <c r="C17" s="2">
        <f>Data!D17</f>
        <v>171</v>
      </c>
      <c r="D17" s="2">
        <f>Data!E17</f>
        <v>104</v>
      </c>
      <c r="E17" s="8">
        <f>Data!F17</f>
        <v>329.44</v>
      </c>
      <c r="F17">
        <f t="shared" si="0"/>
        <v>2052</v>
      </c>
      <c r="G17">
        <v>50</v>
      </c>
      <c r="H17">
        <f t="shared" si="1"/>
        <v>65.888000000000005</v>
      </c>
      <c r="I17">
        <f t="shared" si="2"/>
        <v>56</v>
      </c>
      <c r="J17">
        <f t="shared" si="3"/>
        <v>1012</v>
      </c>
      <c r="K17" t="str">
        <f t="shared" si="4"/>
        <v>Stock OK</v>
      </c>
    </row>
    <row r="18" spans="1:11" x14ac:dyDescent="0.3">
      <c r="A18" t="str">
        <f>Data!A18</f>
        <v>ELE0017</v>
      </c>
      <c r="B18" t="str">
        <f>Data!B18</f>
        <v>Electronics Item 17</v>
      </c>
      <c r="C18" s="2">
        <f>Data!D18</f>
        <v>145</v>
      </c>
      <c r="D18" s="2">
        <f>Data!E18</f>
        <v>85</v>
      </c>
      <c r="E18" s="8">
        <f>Data!F18</f>
        <v>127.08</v>
      </c>
      <c r="F18">
        <f t="shared" si="0"/>
        <v>1740</v>
      </c>
      <c r="G18">
        <v>50</v>
      </c>
      <c r="H18">
        <f t="shared" si="1"/>
        <v>25.416</v>
      </c>
      <c r="I18">
        <f t="shared" si="2"/>
        <v>83</v>
      </c>
      <c r="J18">
        <f t="shared" si="3"/>
        <v>858</v>
      </c>
      <c r="K18" t="str">
        <f t="shared" si="4"/>
        <v>Stock OK</v>
      </c>
    </row>
    <row r="19" spans="1:11" x14ac:dyDescent="0.3">
      <c r="A19" t="str">
        <f>Data!A19</f>
        <v>ELE0018</v>
      </c>
      <c r="B19" t="str">
        <f>Data!B19</f>
        <v>Electronics Item 18</v>
      </c>
      <c r="C19" s="2">
        <f>Data!D19</f>
        <v>309</v>
      </c>
      <c r="D19" s="2">
        <f>Data!E19</f>
        <v>159</v>
      </c>
      <c r="E19" s="8">
        <f>Data!F19</f>
        <v>449.42</v>
      </c>
      <c r="F19">
        <f t="shared" si="0"/>
        <v>3708</v>
      </c>
      <c r="G19">
        <v>50</v>
      </c>
      <c r="H19">
        <f t="shared" si="1"/>
        <v>89.884000000000015</v>
      </c>
      <c r="I19">
        <f t="shared" si="2"/>
        <v>64</v>
      </c>
      <c r="J19">
        <f t="shared" si="3"/>
        <v>1829</v>
      </c>
      <c r="K19" t="str">
        <f t="shared" si="4"/>
        <v>Stock OK</v>
      </c>
    </row>
    <row r="20" spans="1:11" x14ac:dyDescent="0.3">
      <c r="A20" t="str">
        <f>Data!A20</f>
        <v>ELE0019</v>
      </c>
      <c r="B20" t="str">
        <f>Data!B20</f>
        <v>Electronics Item 19</v>
      </c>
      <c r="C20" s="2">
        <f>Data!D20</f>
        <v>270</v>
      </c>
      <c r="D20" s="2">
        <f>Data!E20</f>
        <v>176</v>
      </c>
      <c r="E20" s="8">
        <f>Data!F20</f>
        <v>50</v>
      </c>
      <c r="F20">
        <f t="shared" si="0"/>
        <v>3240</v>
      </c>
      <c r="G20">
        <v>50</v>
      </c>
      <c r="H20">
        <f t="shared" si="1"/>
        <v>10</v>
      </c>
      <c r="I20">
        <f t="shared" si="2"/>
        <v>180</v>
      </c>
      <c r="J20">
        <f t="shared" si="3"/>
        <v>1598</v>
      </c>
      <c r="K20" t="str">
        <f t="shared" si="4"/>
        <v>Stock OK</v>
      </c>
    </row>
    <row r="21" spans="1:11" x14ac:dyDescent="0.3">
      <c r="A21" t="str">
        <f>Data!A21</f>
        <v>ELE0020</v>
      </c>
      <c r="B21" t="str">
        <f>Data!B21</f>
        <v>Electronics Item 20</v>
      </c>
      <c r="C21" s="2">
        <f>Data!D21</f>
        <v>91</v>
      </c>
      <c r="D21" s="2">
        <f>Data!E21</f>
        <v>158</v>
      </c>
      <c r="E21" s="8">
        <f>Data!F21</f>
        <v>300.22000000000003</v>
      </c>
      <c r="F21">
        <f t="shared" si="0"/>
        <v>1092</v>
      </c>
      <c r="G21">
        <v>50</v>
      </c>
      <c r="H21">
        <f t="shared" si="1"/>
        <v>60.044000000000011</v>
      </c>
      <c r="I21">
        <f t="shared" si="2"/>
        <v>43</v>
      </c>
      <c r="J21">
        <f t="shared" si="3"/>
        <v>539</v>
      </c>
      <c r="K21" t="str">
        <f t="shared" si="4"/>
        <v>Order Now</v>
      </c>
    </row>
    <row r="22" spans="1:11" x14ac:dyDescent="0.3">
      <c r="A22" t="str">
        <f>Data!A22</f>
        <v>ELE0021</v>
      </c>
      <c r="B22" t="str">
        <f>Data!B22</f>
        <v>Electronics Item 21</v>
      </c>
      <c r="C22" s="2">
        <f>Data!D22</f>
        <v>280</v>
      </c>
      <c r="D22" s="2">
        <f>Data!E22</f>
        <v>114</v>
      </c>
      <c r="E22" s="8">
        <f>Data!F22</f>
        <v>485.68</v>
      </c>
      <c r="F22">
        <f t="shared" si="0"/>
        <v>3360</v>
      </c>
      <c r="G22">
        <v>50</v>
      </c>
      <c r="H22">
        <f t="shared" si="1"/>
        <v>97.13600000000001</v>
      </c>
      <c r="I22">
        <f t="shared" si="2"/>
        <v>59</v>
      </c>
      <c r="J22">
        <f t="shared" si="3"/>
        <v>1657</v>
      </c>
      <c r="K22" t="str">
        <f t="shared" si="4"/>
        <v>Stock OK</v>
      </c>
    </row>
    <row r="23" spans="1:11" x14ac:dyDescent="0.3">
      <c r="A23" t="str">
        <f>Data!A23</f>
        <v>ELE0022</v>
      </c>
      <c r="B23" t="str">
        <f>Data!B23</f>
        <v>Electronics Item 22</v>
      </c>
      <c r="C23" s="2">
        <f>Data!D23</f>
        <v>68</v>
      </c>
      <c r="D23" s="2">
        <f>Data!E23</f>
        <v>187</v>
      </c>
      <c r="E23" s="8">
        <f>Data!F23</f>
        <v>376.68</v>
      </c>
      <c r="F23">
        <f t="shared" si="0"/>
        <v>816</v>
      </c>
      <c r="G23">
        <v>50</v>
      </c>
      <c r="H23">
        <f t="shared" si="1"/>
        <v>75.335999999999999</v>
      </c>
      <c r="I23">
        <f t="shared" si="2"/>
        <v>33</v>
      </c>
      <c r="J23">
        <f t="shared" si="3"/>
        <v>402</v>
      </c>
      <c r="K23" t="str">
        <f t="shared" si="4"/>
        <v>Order Now</v>
      </c>
    </row>
    <row r="24" spans="1:11" x14ac:dyDescent="0.3">
      <c r="A24" t="str">
        <f>Data!A24</f>
        <v>ELE0023</v>
      </c>
      <c r="B24" t="str">
        <f>Data!B24</f>
        <v>Electronics Item 23</v>
      </c>
      <c r="C24" s="2">
        <f>Data!D24</f>
        <v>160</v>
      </c>
      <c r="D24" s="2">
        <f>Data!E24</f>
        <v>161</v>
      </c>
      <c r="E24" s="8">
        <f>Data!F24</f>
        <v>83.29</v>
      </c>
      <c r="F24">
        <f t="shared" si="0"/>
        <v>1920</v>
      </c>
      <c r="G24">
        <v>50</v>
      </c>
      <c r="H24">
        <f t="shared" si="1"/>
        <v>16.658000000000001</v>
      </c>
      <c r="I24">
        <f t="shared" si="2"/>
        <v>107</v>
      </c>
      <c r="J24">
        <f t="shared" si="3"/>
        <v>947</v>
      </c>
      <c r="K24" t="str">
        <f t="shared" si="4"/>
        <v>Order Now</v>
      </c>
    </row>
    <row r="25" spans="1:11" x14ac:dyDescent="0.3">
      <c r="A25" t="str">
        <f>Data!A25</f>
        <v>ELE0024</v>
      </c>
      <c r="B25" t="str">
        <f>Data!B25</f>
        <v>Electronics Item 24</v>
      </c>
      <c r="C25" s="2">
        <f>Data!D25</f>
        <v>266</v>
      </c>
      <c r="D25" s="2">
        <f>Data!E25</f>
        <v>95</v>
      </c>
      <c r="E25" s="8">
        <f>Data!F25</f>
        <v>256.3</v>
      </c>
      <c r="F25">
        <f t="shared" si="0"/>
        <v>3192</v>
      </c>
      <c r="G25">
        <v>50</v>
      </c>
      <c r="H25">
        <f t="shared" si="1"/>
        <v>51.260000000000005</v>
      </c>
      <c r="I25">
        <f t="shared" si="2"/>
        <v>79</v>
      </c>
      <c r="J25">
        <f t="shared" si="3"/>
        <v>1574</v>
      </c>
      <c r="K25" t="str">
        <f t="shared" si="4"/>
        <v>Stock OK</v>
      </c>
    </row>
    <row r="26" spans="1:11" x14ac:dyDescent="0.3">
      <c r="A26" t="str">
        <f>Data!A26</f>
        <v>ELE0025</v>
      </c>
      <c r="B26" t="str">
        <f>Data!B26</f>
        <v>Electronics Item 25</v>
      </c>
      <c r="C26" s="2">
        <f>Data!D26</f>
        <v>269</v>
      </c>
      <c r="D26" s="2">
        <f>Data!E26</f>
        <v>100</v>
      </c>
      <c r="E26" s="8">
        <f>Data!F26</f>
        <v>80.66</v>
      </c>
      <c r="F26">
        <f t="shared" si="0"/>
        <v>3228</v>
      </c>
      <c r="G26">
        <v>50</v>
      </c>
      <c r="H26">
        <f t="shared" si="1"/>
        <v>16.132000000000001</v>
      </c>
      <c r="I26">
        <f t="shared" si="2"/>
        <v>141</v>
      </c>
      <c r="J26">
        <f t="shared" si="3"/>
        <v>1592</v>
      </c>
      <c r="K26" t="str">
        <f t="shared" si="4"/>
        <v>Stock OK</v>
      </c>
    </row>
    <row r="27" spans="1:11" x14ac:dyDescent="0.3">
      <c r="A27" t="str">
        <f>Data!A27</f>
        <v>ELE0026</v>
      </c>
      <c r="B27" t="str">
        <f>Data!B27</f>
        <v>Electronics Item 26</v>
      </c>
      <c r="C27" s="2">
        <f>Data!D27</f>
        <v>480</v>
      </c>
      <c r="D27" s="2">
        <f>Data!E27</f>
        <v>50</v>
      </c>
      <c r="E27" s="8">
        <f>Data!F27</f>
        <v>301.48</v>
      </c>
      <c r="F27">
        <f t="shared" si="0"/>
        <v>5760</v>
      </c>
      <c r="G27">
        <v>50</v>
      </c>
      <c r="H27">
        <f t="shared" si="1"/>
        <v>60.296000000000006</v>
      </c>
      <c r="I27">
        <f t="shared" si="2"/>
        <v>98</v>
      </c>
      <c r="J27">
        <f t="shared" si="3"/>
        <v>2841</v>
      </c>
      <c r="K27" t="str">
        <f t="shared" si="4"/>
        <v>Stock OK</v>
      </c>
    </row>
    <row r="28" spans="1:11" x14ac:dyDescent="0.3">
      <c r="A28" t="str">
        <f>Data!A28</f>
        <v>ELE0027</v>
      </c>
      <c r="B28" t="str">
        <f>Data!B28</f>
        <v>Electronics Item 27</v>
      </c>
      <c r="C28" s="2">
        <f>Data!D28</f>
        <v>459</v>
      </c>
      <c r="D28" s="2">
        <f>Data!E28</f>
        <v>128</v>
      </c>
      <c r="E28" s="8">
        <f>Data!F28</f>
        <v>123.53</v>
      </c>
      <c r="F28">
        <f t="shared" si="0"/>
        <v>5508</v>
      </c>
      <c r="G28">
        <v>50</v>
      </c>
      <c r="H28">
        <f t="shared" si="1"/>
        <v>24.706000000000003</v>
      </c>
      <c r="I28">
        <f t="shared" si="2"/>
        <v>149</v>
      </c>
      <c r="J28">
        <f t="shared" si="3"/>
        <v>2716</v>
      </c>
      <c r="K28" t="str">
        <f t="shared" si="4"/>
        <v>Stock OK</v>
      </c>
    </row>
    <row r="29" spans="1:11" x14ac:dyDescent="0.3">
      <c r="A29" t="str">
        <f>Data!A29</f>
        <v>ELE0028</v>
      </c>
      <c r="B29" t="str">
        <f>Data!B29</f>
        <v>Electronics Item 28</v>
      </c>
      <c r="C29" s="2">
        <f>Data!D29</f>
        <v>384</v>
      </c>
      <c r="D29" s="2">
        <f>Data!E29</f>
        <v>174</v>
      </c>
      <c r="E29" s="8">
        <f>Data!F29</f>
        <v>408.93</v>
      </c>
      <c r="F29">
        <f t="shared" si="0"/>
        <v>4608</v>
      </c>
      <c r="G29">
        <v>50</v>
      </c>
      <c r="H29">
        <f t="shared" si="1"/>
        <v>81.786000000000001</v>
      </c>
      <c r="I29">
        <f t="shared" si="2"/>
        <v>75</v>
      </c>
      <c r="J29">
        <f t="shared" si="3"/>
        <v>2272</v>
      </c>
      <c r="K29" t="str">
        <f t="shared" si="4"/>
        <v>Stock OK</v>
      </c>
    </row>
    <row r="30" spans="1:11" x14ac:dyDescent="0.3">
      <c r="A30" t="str">
        <f>Data!A30</f>
        <v>ELE0029</v>
      </c>
      <c r="B30" t="str">
        <f>Data!B30</f>
        <v>Electronics Item 29</v>
      </c>
      <c r="C30" s="2">
        <f>Data!D30</f>
        <v>347</v>
      </c>
      <c r="D30" s="2">
        <f>Data!E30</f>
        <v>171</v>
      </c>
      <c r="E30" s="8">
        <f>Data!F30</f>
        <v>473.69</v>
      </c>
      <c r="F30">
        <f t="shared" si="0"/>
        <v>4164</v>
      </c>
      <c r="G30">
        <v>50</v>
      </c>
      <c r="H30">
        <f t="shared" si="1"/>
        <v>94.738</v>
      </c>
      <c r="I30">
        <f t="shared" si="2"/>
        <v>66</v>
      </c>
      <c r="J30">
        <f t="shared" si="3"/>
        <v>2053</v>
      </c>
      <c r="K30" t="str">
        <f t="shared" si="4"/>
        <v>Stock OK</v>
      </c>
    </row>
    <row r="31" spans="1:11" x14ac:dyDescent="0.3">
      <c r="A31" t="str">
        <f>Data!A31</f>
        <v>ELE0030</v>
      </c>
      <c r="B31" t="str">
        <f>Data!B31</f>
        <v>Electronics Item 30</v>
      </c>
      <c r="C31" s="2">
        <f>Data!D31</f>
        <v>226</v>
      </c>
      <c r="D31" s="2">
        <f>Data!E31</f>
        <v>104</v>
      </c>
      <c r="E31" s="8">
        <f>Data!F31</f>
        <v>464.81</v>
      </c>
      <c r="F31">
        <f t="shared" si="0"/>
        <v>2712</v>
      </c>
      <c r="G31">
        <v>50</v>
      </c>
      <c r="H31">
        <f t="shared" si="1"/>
        <v>92.962000000000003</v>
      </c>
      <c r="I31">
        <f t="shared" si="2"/>
        <v>54</v>
      </c>
      <c r="J31">
        <f t="shared" si="3"/>
        <v>1337</v>
      </c>
      <c r="K31" t="str">
        <f t="shared" si="4"/>
        <v>Stock OK</v>
      </c>
    </row>
    <row r="32" spans="1:11" x14ac:dyDescent="0.3">
      <c r="A32" t="str">
        <f>Data!A32</f>
        <v>ELE0031</v>
      </c>
      <c r="B32" t="str">
        <f>Data!B32</f>
        <v>Electronics Item 31</v>
      </c>
      <c r="C32" s="2">
        <f>Data!D32</f>
        <v>375</v>
      </c>
      <c r="D32" s="2">
        <f>Data!E32</f>
        <v>129</v>
      </c>
      <c r="E32" s="8">
        <f>Data!F32</f>
        <v>202.5</v>
      </c>
      <c r="F32">
        <f t="shared" si="0"/>
        <v>4500</v>
      </c>
      <c r="G32">
        <v>50</v>
      </c>
      <c r="H32">
        <f t="shared" si="1"/>
        <v>40.5</v>
      </c>
      <c r="I32">
        <f t="shared" si="2"/>
        <v>105</v>
      </c>
      <c r="J32">
        <f t="shared" si="3"/>
        <v>2219</v>
      </c>
      <c r="K32" t="str">
        <f t="shared" si="4"/>
        <v>Stock OK</v>
      </c>
    </row>
    <row r="33" spans="1:11" x14ac:dyDescent="0.3">
      <c r="A33" t="str">
        <f>Data!A33</f>
        <v>ELE0032</v>
      </c>
      <c r="B33" t="str">
        <f>Data!B33</f>
        <v>Electronics Item 32</v>
      </c>
      <c r="C33" s="2">
        <f>Data!D33</f>
        <v>470</v>
      </c>
      <c r="D33" s="2">
        <f>Data!E33</f>
        <v>182</v>
      </c>
      <c r="E33" s="8">
        <f>Data!F33</f>
        <v>228.49</v>
      </c>
      <c r="F33">
        <f t="shared" si="0"/>
        <v>5640</v>
      </c>
      <c r="G33">
        <v>50</v>
      </c>
      <c r="H33">
        <f t="shared" si="1"/>
        <v>45.698000000000008</v>
      </c>
      <c r="I33">
        <f t="shared" si="2"/>
        <v>111</v>
      </c>
      <c r="J33">
        <f t="shared" si="3"/>
        <v>2781</v>
      </c>
      <c r="K33" t="str">
        <f t="shared" si="4"/>
        <v>Stock OK</v>
      </c>
    </row>
    <row r="34" spans="1:11" x14ac:dyDescent="0.3">
      <c r="A34" t="str">
        <f>Data!A34</f>
        <v>ELE0033</v>
      </c>
      <c r="B34" t="str">
        <f>Data!B34</f>
        <v>Electronics Item 33</v>
      </c>
      <c r="C34" s="2">
        <f>Data!D34</f>
        <v>20</v>
      </c>
      <c r="D34" s="2">
        <f>Data!E34</f>
        <v>200</v>
      </c>
      <c r="E34" s="8">
        <f>Data!F34</f>
        <v>279.19</v>
      </c>
      <c r="F34">
        <f t="shared" si="0"/>
        <v>240</v>
      </c>
      <c r="G34">
        <v>50</v>
      </c>
      <c r="H34">
        <f t="shared" si="1"/>
        <v>55.838000000000001</v>
      </c>
      <c r="I34">
        <f t="shared" si="2"/>
        <v>21</v>
      </c>
      <c r="J34">
        <f t="shared" si="3"/>
        <v>118</v>
      </c>
      <c r="K34" t="str">
        <f t="shared" si="4"/>
        <v>Order Now</v>
      </c>
    </row>
    <row r="35" spans="1:11" x14ac:dyDescent="0.3">
      <c r="A35" t="str">
        <f>Data!A35</f>
        <v>ELE0034</v>
      </c>
      <c r="B35" t="str">
        <f>Data!B35</f>
        <v>Electronics Item 34</v>
      </c>
      <c r="C35" s="2">
        <f>Data!D35</f>
        <v>372</v>
      </c>
      <c r="D35" s="2">
        <f>Data!E35</f>
        <v>65</v>
      </c>
      <c r="E35" s="8">
        <f>Data!F35</f>
        <v>118.33</v>
      </c>
      <c r="F35">
        <f t="shared" si="0"/>
        <v>4464</v>
      </c>
      <c r="G35">
        <v>50</v>
      </c>
      <c r="H35">
        <f t="shared" si="1"/>
        <v>23.666</v>
      </c>
      <c r="I35">
        <f t="shared" si="2"/>
        <v>137</v>
      </c>
      <c r="J35">
        <f t="shared" si="3"/>
        <v>2201</v>
      </c>
      <c r="K35" t="str">
        <f t="shared" si="4"/>
        <v>Stock OK</v>
      </c>
    </row>
    <row r="36" spans="1:11" x14ac:dyDescent="0.3">
      <c r="A36" t="str">
        <f>Data!A36</f>
        <v>ELE0035</v>
      </c>
      <c r="B36" t="str">
        <f>Data!B36</f>
        <v>Electronics Item 35</v>
      </c>
      <c r="C36" s="2">
        <f>Data!D36</f>
        <v>273</v>
      </c>
      <c r="D36" s="2">
        <f>Data!E36</f>
        <v>110</v>
      </c>
      <c r="E36" s="8">
        <f>Data!F36</f>
        <v>142.85</v>
      </c>
      <c r="F36">
        <f t="shared" si="0"/>
        <v>3276</v>
      </c>
      <c r="G36">
        <v>50</v>
      </c>
      <c r="H36">
        <f t="shared" si="1"/>
        <v>28.57</v>
      </c>
      <c r="I36">
        <f t="shared" si="2"/>
        <v>107</v>
      </c>
      <c r="J36">
        <f t="shared" si="3"/>
        <v>1616</v>
      </c>
      <c r="K36" t="str">
        <f t="shared" si="4"/>
        <v>Stock OK</v>
      </c>
    </row>
    <row r="37" spans="1:11" x14ac:dyDescent="0.3">
      <c r="A37" t="str">
        <f>Data!A37</f>
        <v>ELE0036</v>
      </c>
      <c r="B37" t="str">
        <f>Data!B37</f>
        <v>Electronics Item 36</v>
      </c>
      <c r="C37" s="2">
        <f>Data!D37</f>
        <v>380</v>
      </c>
      <c r="D37" s="2">
        <f>Data!E37</f>
        <v>196</v>
      </c>
      <c r="E37" s="8">
        <f>Data!F37</f>
        <v>290.22000000000003</v>
      </c>
      <c r="F37">
        <f t="shared" si="0"/>
        <v>4560</v>
      </c>
      <c r="G37">
        <v>50</v>
      </c>
      <c r="H37">
        <f t="shared" si="1"/>
        <v>58.044000000000011</v>
      </c>
      <c r="I37">
        <f t="shared" si="2"/>
        <v>89</v>
      </c>
      <c r="J37">
        <f t="shared" si="3"/>
        <v>2249</v>
      </c>
      <c r="K37" t="str">
        <f t="shared" si="4"/>
        <v>Stock OK</v>
      </c>
    </row>
    <row r="38" spans="1:11" x14ac:dyDescent="0.3">
      <c r="A38" t="str">
        <f>Data!A38</f>
        <v>ELE0037</v>
      </c>
      <c r="B38" t="str">
        <f>Data!B38</f>
        <v>Electronics Item 37</v>
      </c>
      <c r="C38" s="2">
        <f>Data!D38</f>
        <v>58</v>
      </c>
      <c r="D38" s="2">
        <f>Data!E38</f>
        <v>74</v>
      </c>
      <c r="E38" s="8">
        <f>Data!F38</f>
        <v>331.2</v>
      </c>
      <c r="F38">
        <f t="shared" si="0"/>
        <v>696</v>
      </c>
      <c r="G38">
        <v>50</v>
      </c>
      <c r="H38">
        <f t="shared" si="1"/>
        <v>66.239999999999995</v>
      </c>
      <c r="I38">
        <f t="shared" si="2"/>
        <v>32</v>
      </c>
      <c r="J38">
        <f t="shared" si="3"/>
        <v>343</v>
      </c>
      <c r="K38" t="str">
        <f t="shared" si="4"/>
        <v>Order Now</v>
      </c>
    </row>
    <row r="39" spans="1:11" x14ac:dyDescent="0.3">
      <c r="A39" t="str">
        <f>Data!A39</f>
        <v>ELE0038</v>
      </c>
      <c r="B39" t="str">
        <f>Data!B39</f>
        <v>Electronics Item 38</v>
      </c>
      <c r="C39" s="2">
        <f>Data!D39</f>
        <v>452</v>
      </c>
      <c r="D39" s="2">
        <f>Data!E39</f>
        <v>63</v>
      </c>
      <c r="E39" s="8">
        <f>Data!F39</f>
        <v>338.32</v>
      </c>
      <c r="F39">
        <f t="shared" si="0"/>
        <v>5424</v>
      </c>
      <c r="G39">
        <v>50</v>
      </c>
      <c r="H39">
        <f t="shared" si="1"/>
        <v>67.664000000000001</v>
      </c>
      <c r="I39">
        <f t="shared" si="2"/>
        <v>90</v>
      </c>
      <c r="J39">
        <f t="shared" si="3"/>
        <v>2675</v>
      </c>
      <c r="K39" t="str">
        <f t="shared" si="4"/>
        <v>Stock OK</v>
      </c>
    </row>
    <row r="40" spans="1:11" x14ac:dyDescent="0.3">
      <c r="A40" t="str">
        <f>Data!A40</f>
        <v>ELE0039</v>
      </c>
      <c r="B40" t="str">
        <f>Data!B40</f>
        <v>Electronics Item 39</v>
      </c>
      <c r="C40" s="2">
        <f>Data!D40</f>
        <v>382</v>
      </c>
      <c r="D40" s="2">
        <f>Data!E40</f>
        <v>136</v>
      </c>
      <c r="E40" s="8">
        <f>Data!F40</f>
        <v>401.29</v>
      </c>
      <c r="F40">
        <f t="shared" si="0"/>
        <v>4584</v>
      </c>
      <c r="G40">
        <v>50</v>
      </c>
      <c r="H40">
        <f t="shared" si="1"/>
        <v>80.25800000000001</v>
      </c>
      <c r="I40">
        <f t="shared" si="2"/>
        <v>76</v>
      </c>
      <c r="J40">
        <f t="shared" si="3"/>
        <v>2261</v>
      </c>
      <c r="K40" t="str">
        <f t="shared" si="4"/>
        <v>Stock OK</v>
      </c>
    </row>
    <row r="41" spans="1:11" x14ac:dyDescent="0.3">
      <c r="A41" t="str">
        <f>Data!A41</f>
        <v>ELE0040</v>
      </c>
      <c r="B41" t="str">
        <f>Data!B41</f>
        <v>Electronics Item 40</v>
      </c>
      <c r="C41" s="2">
        <f>Data!D41</f>
        <v>284</v>
      </c>
      <c r="D41" s="2">
        <f>Data!E41</f>
        <v>164</v>
      </c>
      <c r="E41" s="8">
        <f>Data!F41</f>
        <v>74.39</v>
      </c>
      <c r="F41">
        <f t="shared" si="0"/>
        <v>3408</v>
      </c>
      <c r="G41">
        <v>50</v>
      </c>
      <c r="H41">
        <f t="shared" si="1"/>
        <v>14.878</v>
      </c>
      <c r="I41">
        <f t="shared" si="2"/>
        <v>151</v>
      </c>
      <c r="J41">
        <f t="shared" si="3"/>
        <v>1681</v>
      </c>
      <c r="K41" t="str">
        <f t="shared" si="4"/>
        <v>Stock OK</v>
      </c>
    </row>
    <row r="42" spans="1:11" x14ac:dyDescent="0.3">
      <c r="A42" t="str">
        <f>Data!A42</f>
        <v>ELE0041</v>
      </c>
      <c r="B42" t="str">
        <f>Data!B42</f>
        <v>Electronics Item 41</v>
      </c>
      <c r="C42" s="2">
        <f>Data!D42</f>
        <v>457</v>
      </c>
      <c r="D42" s="2">
        <f>Data!E42</f>
        <v>69</v>
      </c>
      <c r="E42" s="8">
        <f>Data!F42</f>
        <v>224.35</v>
      </c>
      <c r="F42">
        <f t="shared" si="0"/>
        <v>5484</v>
      </c>
      <c r="G42">
        <v>50</v>
      </c>
      <c r="H42">
        <f t="shared" si="1"/>
        <v>44.870000000000005</v>
      </c>
      <c r="I42">
        <f t="shared" si="2"/>
        <v>111</v>
      </c>
      <c r="J42">
        <f t="shared" si="3"/>
        <v>2704</v>
      </c>
      <c r="K42" t="str">
        <f t="shared" si="4"/>
        <v>Stock OK</v>
      </c>
    </row>
    <row r="43" spans="1:11" x14ac:dyDescent="0.3">
      <c r="A43" t="str">
        <f>Data!A43</f>
        <v>ELE0042</v>
      </c>
      <c r="B43" t="str">
        <f>Data!B43</f>
        <v>Electronics Item 42</v>
      </c>
      <c r="C43" s="2">
        <f>Data!D43</f>
        <v>343</v>
      </c>
      <c r="D43" s="2">
        <f>Data!E43</f>
        <v>188</v>
      </c>
      <c r="E43" s="8">
        <f>Data!F43</f>
        <v>418.83</v>
      </c>
      <c r="F43">
        <f t="shared" si="0"/>
        <v>4116</v>
      </c>
      <c r="G43">
        <v>50</v>
      </c>
      <c r="H43">
        <f t="shared" si="1"/>
        <v>83.766000000000005</v>
      </c>
      <c r="I43">
        <f t="shared" si="2"/>
        <v>70</v>
      </c>
      <c r="J43">
        <f t="shared" si="3"/>
        <v>2030</v>
      </c>
      <c r="K43" t="str">
        <f t="shared" si="4"/>
        <v>Stock OK</v>
      </c>
    </row>
    <row r="44" spans="1:11" x14ac:dyDescent="0.3">
      <c r="A44" t="str">
        <f>Data!A44</f>
        <v>ELE0043</v>
      </c>
      <c r="B44" t="str">
        <f>Data!B44</f>
        <v>Electronics Item 43</v>
      </c>
      <c r="C44" s="2">
        <f>Data!D44</f>
        <v>258</v>
      </c>
      <c r="D44" s="2">
        <f>Data!E44</f>
        <v>173</v>
      </c>
      <c r="E44" s="8">
        <f>Data!F44</f>
        <v>110.8</v>
      </c>
      <c r="F44">
        <f t="shared" si="0"/>
        <v>3096</v>
      </c>
      <c r="G44">
        <v>50</v>
      </c>
      <c r="H44">
        <f t="shared" si="1"/>
        <v>22.16</v>
      </c>
      <c r="I44">
        <f t="shared" si="2"/>
        <v>118</v>
      </c>
      <c r="J44">
        <f t="shared" si="3"/>
        <v>1527</v>
      </c>
      <c r="K44" t="str">
        <f t="shared" si="4"/>
        <v>Stock OK</v>
      </c>
    </row>
    <row r="45" spans="1:11" x14ac:dyDescent="0.3">
      <c r="A45" t="str">
        <f>Data!A45</f>
        <v>ELE0044</v>
      </c>
      <c r="B45" t="str">
        <f>Data!B45</f>
        <v>Electronics Item 44</v>
      </c>
      <c r="C45" s="2">
        <f>Data!D45</f>
        <v>11</v>
      </c>
      <c r="D45" s="2">
        <f>Data!E45</f>
        <v>149</v>
      </c>
      <c r="E45" s="8">
        <f>Data!F45</f>
        <v>136.28</v>
      </c>
      <c r="F45">
        <f t="shared" si="0"/>
        <v>132</v>
      </c>
      <c r="G45">
        <v>50</v>
      </c>
      <c r="H45">
        <f t="shared" si="1"/>
        <v>27.256</v>
      </c>
      <c r="I45">
        <f t="shared" si="2"/>
        <v>22</v>
      </c>
      <c r="J45">
        <f t="shared" si="3"/>
        <v>65</v>
      </c>
      <c r="K45" t="str">
        <f t="shared" si="4"/>
        <v>Order Now</v>
      </c>
    </row>
    <row r="46" spans="1:11" x14ac:dyDescent="0.3">
      <c r="A46" t="str">
        <f>Data!A46</f>
        <v>ELE0045</v>
      </c>
      <c r="B46" t="str">
        <f>Data!B46</f>
        <v>Electronics Item 45</v>
      </c>
      <c r="C46" s="2">
        <f>Data!D46</f>
        <v>366</v>
      </c>
      <c r="D46" s="2">
        <f>Data!E46</f>
        <v>192</v>
      </c>
      <c r="E46" s="8">
        <f>Data!F46</f>
        <v>332.63</v>
      </c>
      <c r="F46">
        <f t="shared" si="0"/>
        <v>4392</v>
      </c>
      <c r="G46">
        <v>50</v>
      </c>
      <c r="H46">
        <f t="shared" si="1"/>
        <v>66.525999999999996</v>
      </c>
      <c r="I46">
        <f t="shared" si="2"/>
        <v>81</v>
      </c>
      <c r="J46">
        <f t="shared" si="3"/>
        <v>2166</v>
      </c>
      <c r="K46" t="str">
        <f t="shared" si="4"/>
        <v>Stock OK</v>
      </c>
    </row>
    <row r="47" spans="1:11" x14ac:dyDescent="0.3">
      <c r="A47" t="str">
        <f>Data!A47</f>
        <v>ELE0046</v>
      </c>
      <c r="B47" t="str">
        <f>Data!B47</f>
        <v>Electronics Item 46</v>
      </c>
      <c r="C47" s="2">
        <f>Data!D47</f>
        <v>121</v>
      </c>
      <c r="D47" s="2">
        <f>Data!E47</f>
        <v>64</v>
      </c>
      <c r="E47" s="8">
        <f>Data!F47</f>
        <v>291.69</v>
      </c>
      <c r="F47">
        <f t="shared" si="0"/>
        <v>1452</v>
      </c>
      <c r="G47">
        <v>50</v>
      </c>
      <c r="H47">
        <f t="shared" si="1"/>
        <v>58.338000000000001</v>
      </c>
      <c r="I47">
        <f t="shared" si="2"/>
        <v>50</v>
      </c>
      <c r="J47">
        <f t="shared" si="3"/>
        <v>716</v>
      </c>
      <c r="K47" t="str">
        <f t="shared" si="4"/>
        <v>Stock OK</v>
      </c>
    </row>
    <row r="48" spans="1:11" x14ac:dyDescent="0.3">
      <c r="A48" t="str">
        <f>Data!A48</f>
        <v>ELE0047</v>
      </c>
      <c r="B48" t="str">
        <f>Data!B48</f>
        <v>Electronics Item 47</v>
      </c>
      <c r="C48" s="2">
        <f>Data!D48</f>
        <v>39</v>
      </c>
      <c r="D48" s="2">
        <f>Data!E48</f>
        <v>62</v>
      </c>
      <c r="E48" s="8">
        <f>Data!F48</f>
        <v>294.17</v>
      </c>
      <c r="F48">
        <f t="shared" si="0"/>
        <v>468</v>
      </c>
      <c r="G48">
        <v>50</v>
      </c>
      <c r="H48">
        <f t="shared" si="1"/>
        <v>58.834000000000003</v>
      </c>
      <c r="I48">
        <f t="shared" si="2"/>
        <v>28</v>
      </c>
      <c r="J48">
        <f t="shared" si="3"/>
        <v>231</v>
      </c>
      <c r="K48" t="str">
        <f t="shared" si="4"/>
        <v>Order Now</v>
      </c>
    </row>
    <row r="49" spans="1:11" x14ac:dyDescent="0.3">
      <c r="A49" t="str">
        <f>Data!A49</f>
        <v>ELE0048</v>
      </c>
      <c r="B49" t="str">
        <f>Data!B49</f>
        <v>Electronics Item 48</v>
      </c>
      <c r="C49" s="2">
        <f>Data!D49</f>
        <v>270</v>
      </c>
      <c r="D49" s="2">
        <f>Data!E49</f>
        <v>70</v>
      </c>
      <c r="E49" s="8">
        <f>Data!F49</f>
        <v>426.41</v>
      </c>
      <c r="F49">
        <f t="shared" si="0"/>
        <v>3240</v>
      </c>
      <c r="G49">
        <v>50</v>
      </c>
      <c r="H49">
        <f t="shared" si="1"/>
        <v>85.282000000000011</v>
      </c>
      <c r="I49">
        <f t="shared" si="2"/>
        <v>62</v>
      </c>
      <c r="J49">
        <f t="shared" si="3"/>
        <v>1598</v>
      </c>
      <c r="K49" t="str">
        <f t="shared" si="4"/>
        <v>Stock OK</v>
      </c>
    </row>
    <row r="50" spans="1:11" x14ac:dyDescent="0.3">
      <c r="A50" t="str">
        <f>Data!A50</f>
        <v>ELE0049</v>
      </c>
      <c r="B50" t="str">
        <f>Data!B50</f>
        <v>Electronics Item 49</v>
      </c>
      <c r="C50" s="2">
        <f>Data!D50</f>
        <v>451</v>
      </c>
      <c r="D50" s="2">
        <f>Data!E50</f>
        <v>110</v>
      </c>
      <c r="E50" s="8">
        <f>Data!F50</f>
        <v>204.87</v>
      </c>
      <c r="F50">
        <f t="shared" si="0"/>
        <v>5412</v>
      </c>
      <c r="G50">
        <v>50</v>
      </c>
      <c r="H50">
        <f t="shared" si="1"/>
        <v>40.974000000000004</v>
      </c>
      <c r="I50">
        <f t="shared" si="2"/>
        <v>115</v>
      </c>
      <c r="J50">
        <f t="shared" si="3"/>
        <v>2669</v>
      </c>
      <c r="K50" t="str">
        <f t="shared" si="4"/>
        <v>Stock OK</v>
      </c>
    </row>
    <row r="51" spans="1:11" x14ac:dyDescent="0.3">
      <c r="A51" t="str">
        <f>Data!A51</f>
        <v>ELE0050</v>
      </c>
      <c r="B51" t="str">
        <f>Data!B51</f>
        <v>Electronics Item 50</v>
      </c>
      <c r="C51" s="2">
        <f>Data!D51</f>
        <v>314</v>
      </c>
      <c r="D51" s="2">
        <f>Data!E51</f>
        <v>60</v>
      </c>
      <c r="E51" s="8">
        <f>Data!F51</f>
        <v>311.58999999999997</v>
      </c>
      <c r="F51">
        <f t="shared" si="0"/>
        <v>3768</v>
      </c>
      <c r="G51">
        <v>50</v>
      </c>
      <c r="H51">
        <f t="shared" si="1"/>
        <v>62.317999999999998</v>
      </c>
      <c r="I51">
        <f t="shared" si="2"/>
        <v>78</v>
      </c>
      <c r="J51">
        <f t="shared" si="3"/>
        <v>1858</v>
      </c>
      <c r="K51" t="str">
        <f t="shared" si="4"/>
        <v>Stock OK</v>
      </c>
    </row>
    <row r="52" spans="1:11" x14ac:dyDescent="0.3">
      <c r="A52" t="str">
        <f>Data!A52</f>
        <v>ELE0051</v>
      </c>
      <c r="B52" t="str">
        <f>Data!B52</f>
        <v>Electronics Item 51</v>
      </c>
      <c r="C52" s="2">
        <f>Data!D52</f>
        <v>277</v>
      </c>
      <c r="D52" s="2">
        <f>Data!E52</f>
        <v>130</v>
      </c>
      <c r="E52" s="8">
        <f>Data!F52</f>
        <v>467.68</v>
      </c>
      <c r="F52">
        <f t="shared" si="0"/>
        <v>3324</v>
      </c>
      <c r="G52">
        <v>50</v>
      </c>
      <c r="H52">
        <f t="shared" si="1"/>
        <v>93.536000000000001</v>
      </c>
      <c r="I52">
        <f t="shared" si="2"/>
        <v>60</v>
      </c>
      <c r="J52">
        <f t="shared" si="3"/>
        <v>1639</v>
      </c>
      <c r="K52" t="str">
        <f t="shared" si="4"/>
        <v>Stock OK</v>
      </c>
    </row>
    <row r="53" spans="1:11" x14ac:dyDescent="0.3">
      <c r="A53" t="str">
        <f>Data!A53</f>
        <v>ELE0052</v>
      </c>
      <c r="B53" t="str">
        <f>Data!B53</f>
        <v>Electronics Item 52</v>
      </c>
      <c r="C53" s="2">
        <f>Data!D53</f>
        <v>132</v>
      </c>
      <c r="D53" s="2">
        <f>Data!E53</f>
        <v>117</v>
      </c>
      <c r="E53" s="8">
        <f>Data!F53</f>
        <v>200.91</v>
      </c>
      <c r="F53">
        <f t="shared" si="0"/>
        <v>1584</v>
      </c>
      <c r="G53">
        <v>50</v>
      </c>
      <c r="H53">
        <f t="shared" si="1"/>
        <v>40.182000000000002</v>
      </c>
      <c r="I53">
        <f t="shared" si="2"/>
        <v>63</v>
      </c>
      <c r="J53">
        <f t="shared" si="3"/>
        <v>781</v>
      </c>
      <c r="K53" t="str">
        <f t="shared" si="4"/>
        <v>Stock OK</v>
      </c>
    </row>
    <row r="54" spans="1:11" x14ac:dyDescent="0.3">
      <c r="A54" t="str">
        <f>Data!A54</f>
        <v>ELE0053</v>
      </c>
      <c r="B54" t="str">
        <f>Data!B54</f>
        <v>Electronics Item 53</v>
      </c>
      <c r="C54" s="2">
        <f>Data!D54</f>
        <v>171</v>
      </c>
      <c r="D54" s="2">
        <f>Data!E54</f>
        <v>68</v>
      </c>
      <c r="E54" s="8">
        <f>Data!F54</f>
        <v>9.61</v>
      </c>
      <c r="F54">
        <f t="shared" si="0"/>
        <v>2052</v>
      </c>
      <c r="G54">
        <v>50</v>
      </c>
      <c r="H54">
        <f t="shared" si="1"/>
        <v>1.9219999999999999</v>
      </c>
      <c r="I54">
        <f t="shared" si="2"/>
        <v>327</v>
      </c>
      <c r="J54">
        <f t="shared" si="3"/>
        <v>1012</v>
      </c>
      <c r="K54" t="str">
        <f t="shared" si="4"/>
        <v>Stock OK</v>
      </c>
    </row>
    <row r="55" spans="1:11" x14ac:dyDescent="0.3">
      <c r="A55" t="str">
        <f>Data!A55</f>
        <v>ELE0054</v>
      </c>
      <c r="B55" t="str">
        <f>Data!B55</f>
        <v>Electronics Item 54</v>
      </c>
      <c r="C55" s="2">
        <f>Data!D55</f>
        <v>285</v>
      </c>
      <c r="D55" s="2">
        <f>Data!E55</f>
        <v>104</v>
      </c>
      <c r="E55" s="8">
        <f>Data!F55</f>
        <v>255.41</v>
      </c>
      <c r="F55">
        <f t="shared" si="0"/>
        <v>3420</v>
      </c>
      <c r="G55">
        <v>50</v>
      </c>
      <c r="H55">
        <f t="shared" si="1"/>
        <v>51.082000000000001</v>
      </c>
      <c r="I55">
        <f t="shared" si="2"/>
        <v>82</v>
      </c>
      <c r="J55">
        <f t="shared" si="3"/>
        <v>1687</v>
      </c>
      <c r="K55" t="str">
        <f t="shared" si="4"/>
        <v>Stock OK</v>
      </c>
    </row>
    <row r="56" spans="1:11" x14ac:dyDescent="0.3">
      <c r="A56" t="str">
        <f>Data!A56</f>
        <v>ELE0055</v>
      </c>
      <c r="B56" t="str">
        <f>Data!B56</f>
        <v>Electronics Item 55</v>
      </c>
      <c r="C56" s="2">
        <f>Data!D56</f>
        <v>199</v>
      </c>
      <c r="D56" s="2">
        <f>Data!E56</f>
        <v>122</v>
      </c>
      <c r="E56" s="8">
        <f>Data!F56</f>
        <v>83.08</v>
      </c>
      <c r="F56">
        <f t="shared" si="0"/>
        <v>2388</v>
      </c>
      <c r="G56">
        <v>50</v>
      </c>
      <c r="H56">
        <f t="shared" si="1"/>
        <v>16.616</v>
      </c>
      <c r="I56">
        <f t="shared" si="2"/>
        <v>120</v>
      </c>
      <c r="J56">
        <f t="shared" si="3"/>
        <v>1178</v>
      </c>
      <c r="K56" t="str">
        <f t="shared" si="4"/>
        <v>Stock OK</v>
      </c>
    </row>
    <row r="57" spans="1:11" x14ac:dyDescent="0.3">
      <c r="A57" t="str">
        <f>Data!A57</f>
        <v>ELE0056</v>
      </c>
      <c r="B57" t="str">
        <f>Data!B57</f>
        <v>Electronics Item 56</v>
      </c>
      <c r="C57" s="2">
        <f>Data!D57</f>
        <v>323</v>
      </c>
      <c r="D57" s="2">
        <f>Data!E57</f>
        <v>185</v>
      </c>
      <c r="E57" s="8">
        <f>Data!F57</f>
        <v>8.8699999999999992</v>
      </c>
      <c r="F57">
        <f t="shared" si="0"/>
        <v>3876</v>
      </c>
      <c r="G57">
        <v>50</v>
      </c>
      <c r="H57">
        <f t="shared" si="1"/>
        <v>1.774</v>
      </c>
      <c r="I57">
        <f t="shared" si="2"/>
        <v>467</v>
      </c>
      <c r="J57">
        <f t="shared" si="3"/>
        <v>1911</v>
      </c>
      <c r="K57" t="str">
        <f t="shared" si="4"/>
        <v>Stock OK</v>
      </c>
    </row>
    <row r="58" spans="1:11" x14ac:dyDescent="0.3">
      <c r="A58" t="str">
        <f>Data!A58</f>
        <v>ELE0057</v>
      </c>
      <c r="B58" t="str">
        <f>Data!B58</f>
        <v>Electronics Item 57</v>
      </c>
      <c r="C58" s="2">
        <f>Data!D58</f>
        <v>63</v>
      </c>
      <c r="D58" s="2">
        <f>Data!E58</f>
        <v>84</v>
      </c>
      <c r="E58" s="8">
        <f>Data!F58</f>
        <v>135.91</v>
      </c>
      <c r="F58">
        <f t="shared" si="0"/>
        <v>756</v>
      </c>
      <c r="G58">
        <v>50</v>
      </c>
      <c r="H58">
        <f t="shared" si="1"/>
        <v>27.182000000000002</v>
      </c>
      <c r="I58">
        <f t="shared" si="2"/>
        <v>53</v>
      </c>
      <c r="J58">
        <f t="shared" si="3"/>
        <v>373</v>
      </c>
      <c r="K58" t="str">
        <f t="shared" si="4"/>
        <v>Order Now</v>
      </c>
    </row>
    <row r="59" spans="1:11" x14ac:dyDescent="0.3">
      <c r="A59" t="str">
        <f>Data!A59</f>
        <v>ELE0058</v>
      </c>
      <c r="B59" t="str">
        <f>Data!B59</f>
        <v>Electronics Item 58</v>
      </c>
      <c r="C59" s="2">
        <f>Data!D59</f>
        <v>89</v>
      </c>
      <c r="D59" s="2">
        <f>Data!E59</f>
        <v>119</v>
      </c>
      <c r="E59" s="8">
        <f>Data!F59</f>
        <v>144.47</v>
      </c>
      <c r="F59">
        <f t="shared" si="0"/>
        <v>1068</v>
      </c>
      <c r="G59">
        <v>50</v>
      </c>
      <c r="H59">
        <f t="shared" si="1"/>
        <v>28.894000000000002</v>
      </c>
      <c r="I59">
        <f t="shared" si="2"/>
        <v>61</v>
      </c>
      <c r="J59">
        <f t="shared" si="3"/>
        <v>527</v>
      </c>
      <c r="K59" t="str">
        <f t="shared" si="4"/>
        <v>Order Now</v>
      </c>
    </row>
    <row r="60" spans="1:11" x14ac:dyDescent="0.3">
      <c r="A60" t="str">
        <f>Data!A60</f>
        <v>ELE0059</v>
      </c>
      <c r="B60" t="str">
        <f>Data!B60</f>
        <v>Electronics Item 59</v>
      </c>
      <c r="C60" s="2">
        <f>Data!D60</f>
        <v>361</v>
      </c>
      <c r="D60" s="2">
        <f>Data!E60</f>
        <v>117</v>
      </c>
      <c r="E60" s="8">
        <f>Data!F60</f>
        <v>255.18</v>
      </c>
      <c r="F60">
        <f t="shared" si="0"/>
        <v>4332</v>
      </c>
      <c r="G60">
        <v>50</v>
      </c>
      <c r="H60">
        <f t="shared" si="1"/>
        <v>51.036000000000001</v>
      </c>
      <c r="I60">
        <f t="shared" si="2"/>
        <v>92</v>
      </c>
      <c r="J60">
        <f t="shared" si="3"/>
        <v>2136</v>
      </c>
      <c r="K60" t="str">
        <f t="shared" si="4"/>
        <v>Stock OK</v>
      </c>
    </row>
    <row r="61" spans="1:11" x14ac:dyDescent="0.3">
      <c r="A61" t="str">
        <f>Data!A61</f>
        <v>ELE0060</v>
      </c>
      <c r="B61" t="str">
        <f>Data!B61</f>
        <v>Electronics Item 60</v>
      </c>
      <c r="C61" s="2">
        <f>Data!D61</f>
        <v>226</v>
      </c>
      <c r="D61" s="2">
        <f>Data!E61</f>
        <v>120</v>
      </c>
      <c r="E61" s="8">
        <f>Data!F61</f>
        <v>26.82</v>
      </c>
      <c r="F61">
        <f t="shared" si="0"/>
        <v>2712</v>
      </c>
      <c r="G61">
        <v>50</v>
      </c>
      <c r="H61">
        <f t="shared" si="1"/>
        <v>5.3640000000000008</v>
      </c>
      <c r="I61">
        <f t="shared" si="2"/>
        <v>225</v>
      </c>
      <c r="J61">
        <f t="shared" si="3"/>
        <v>1337</v>
      </c>
      <c r="K61" t="str">
        <f t="shared" si="4"/>
        <v>Stock OK</v>
      </c>
    </row>
    <row r="62" spans="1:11" x14ac:dyDescent="0.3">
      <c r="A62" t="str">
        <f>Data!A62</f>
        <v>ELE0061</v>
      </c>
      <c r="B62" t="str">
        <f>Data!B62</f>
        <v>Electronics Item 61</v>
      </c>
      <c r="C62" s="2">
        <f>Data!D62</f>
        <v>92</v>
      </c>
      <c r="D62" s="2">
        <f>Data!E62</f>
        <v>163</v>
      </c>
      <c r="E62" s="8">
        <f>Data!F62</f>
        <v>278.08</v>
      </c>
      <c r="F62">
        <f t="shared" si="0"/>
        <v>1104</v>
      </c>
      <c r="G62">
        <v>50</v>
      </c>
      <c r="H62">
        <f t="shared" si="1"/>
        <v>55.616</v>
      </c>
      <c r="I62">
        <f t="shared" si="2"/>
        <v>45</v>
      </c>
      <c r="J62">
        <f t="shared" si="3"/>
        <v>544</v>
      </c>
      <c r="K62" t="str">
        <f t="shared" si="4"/>
        <v>Order Now</v>
      </c>
    </row>
    <row r="63" spans="1:11" x14ac:dyDescent="0.3">
      <c r="A63" t="str">
        <f>Data!A63</f>
        <v>ELE0062</v>
      </c>
      <c r="B63" t="str">
        <f>Data!B63</f>
        <v>Electronics Item 62</v>
      </c>
      <c r="C63" s="2">
        <f>Data!D63</f>
        <v>48</v>
      </c>
      <c r="D63" s="2">
        <f>Data!E63</f>
        <v>88</v>
      </c>
      <c r="E63" s="8">
        <f>Data!F63</f>
        <v>275.07</v>
      </c>
      <c r="F63">
        <f t="shared" si="0"/>
        <v>576</v>
      </c>
      <c r="G63">
        <v>50</v>
      </c>
      <c r="H63">
        <f t="shared" si="1"/>
        <v>55.014000000000003</v>
      </c>
      <c r="I63">
        <f t="shared" si="2"/>
        <v>32</v>
      </c>
      <c r="J63">
        <f t="shared" si="3"/>
        <v>284</v>
      </c>
      <c r="K63" t="str">
        <f t="shared" si="4"/>
        <v>Order Now</v>
      </c>
    </row>
    <row r="64" spans="1:11" x14ac:dyDescent="0.3">
      <c r="A64" t="str">
        <f>Data!A64</f>
        <v>ELE0063</v>
      </c>
      <c r="B64" t="str">
        <f>Data!B64</f>
        <v>Electronics Item 63</v>
      </c>
      <c r="C64" s="2">
        <f>Data!D64</f>
        <v>85</v>
      </c>
      <c r="D64" s="2">
        <f>Data!E64</f>
        <v>160</v>
      </c>
      <c r="E64" s="8">
        <f>Data!F64</f>
        <v>68.09</v>
      </c>
      <c r="F64">
        <f t="shared" si="0"/>
        <v>1020</v>
      </c>
      <c r="G64">
        <v>50</v>
      </c>
      <c r="H64">
        <f t="shared" si="1"/>
        <v>13.618000000000002</v>
      </c>
      <c r="I64">
        <f t="shared" si="2"/>
        <v>87</v>
      </c>
      <c r="J64">
        <f t="shared" si="3"/>
        <v>503</v>
      </c>
      <c r="K64" t="str">
        <f t="shared" si="4"/>
        <v>Order Now</v>
      </c>
    </row>
    <row r="65" spans="1:11" x14ac:dyDescent="0.3">
      <c r="A65" t="str">
        <f>Data!A65</f>
        <v>ELE0064</v>
      </c>
      <c r="B65" t="str">
        <f>Data!B65</f>
        <v>Electronics Item 64</v>
      </c>
      <c r="C65" s="2">
        <f>Data!D65</f>
        <v>117</v>
      </c>
      <c r="D65" s="2">
        <f>Data!E65</f>
        <v>113</v>
      </c>
      <c r="E65" s="8">
        <f>Data!F65</f>
        <v>335.13</v>
      </c>
      <c r="F65">
        <f t="shared" si="0"/>
        <v>1404</v>
      </c>
      <c r="G65">
        <v>50</v>
      </c>
      <c r="H65">
        <f t="shared" si="1"/>
        <v>67.025999999999996</v>
      </c>
      <c r="I65">
        <f t="shared" si="2"/>
        <v>46</v>
      </c>
      <c r="J65">
        <f t="shared" si="3"/>
        <v>692</v>
      </c>
      <c r="K65" t="str">
        <f t="shared" si="4"/>
        <v>Stock OK</v>
      </c>
    </row>
    <row r="66" spans="1:11" x14ac:dyDescent="0.3">
      <c r="A66" t="str">
        <f>Data!A66</f>
        <v>ELE0065</v>
      </c>
      <c r="B66" t="str">
        <f>Data!B66</f>
        <v>Electronics Item 65</v>
      </c>
      <c r="C66" s="2">
        <f>Data!D66</f>
        <v>393</v>
      </c>
      <c r="D66" s="2">
        <f>Data!E66</f>
        <v>89</v>
      </c>
      <c r="E66" s="8">
        <f>Data!F66</f>
        <v>463.25</v>
      </c>
      <c r="F66">
        <f t="shared" si="0"/>
        <v>4716</v>
      </c>
      <c r="G66">
        <v>50</v>
      </c>
      <c r="H66">
        <f t="shared" si="1"/>
        <v>92.65</v>
      </c>
      <c r="I66">
        <f t="shared" si="2"/>
        <v>71</v>
      </c>
      <c r="J66">
        <f t="shared" si="3"/>
        <v>2326</v>
      </c>
      <c r="K66" t="str">
        <f t="shared" si="4"/>
        <v>Stock OK</v>
      </c>
    </row>
    <row r="67" spans="1:11" x14ac:dyDescent="0.3">
      <c r="A67" t="str">
        <f>Data!A67</f>
        <v>ELE0066</v>
      </c>
      <c r="B67" t="str">
        <f>Data!B67</f>
        <v>Electronics Item 66</v>
      </c>
      <c r="C67" s="2">
        <f>Data!D67</f>
        <v>22</v>
      </c>
      <c r="D67" s="2">
        <f>Data!E67</f>
        <v>95</v>
      </c>
      <c r="E67" s="8">
        <f>Data!F67</f>
        <v>369.6</v>
      </c>
      <c r="F67">
        <f t="shared" ref="F67:F130" si="5">C67*12</f>
        <v>264</v>
      </c>
      <c r="G67">
        <v>50</v>
      </c>
      <c r="H67">
        <f t="shared" ref="H67:H130" si="6">E67*20%</f>
        <v>73.92</v>
      </c>
      <c r="I67">
        <f t="shared" ref="I67:I130" si="7">ROUND(SQRT((2*F67*G67)/H67),0)</f>
        <v>19</v>
      </c>
      <c r="J67">
        <f t="shared" ref="J67:J130" si="8">ROUND((F67/365)*180,0)</f>
        <v>130</v>
      </c>
      <c r="K67" t="str">
        <f t="shared" ref="K67:K130" si="9">IF(C67&lt;=D67,"Order Now","Stock OK")</f>
        <v>Order Now</v>
      </c>
    </row>
    <row r="68" spans="1:11" x14ac:dyDescent="0.3">
      <c r="A68" t="str">
        <f>Data!A68</f>
        <v>ELE0067</v>
      </c>
      <c r="B68" t="str">
        <f>Data!B68</f>
        <v>Electronics Item 67</v>
      </c>
      <c r="C68" s="2">
        <f>Data!D68</f>
        <v>425</v>
      </c>
      <c r="D68" s="2">
        <f>Data!E68</f>
        <v>113</v>
      </c>
      <c r="E68" s="8">
        <f>Data!F68</f>
        <v>137.07</v>
      </c>
      <c r="F68">
        <f t="shared" si="5"/>
        <v>5100</v>
      </c>
      <c r="G68">
        <v>50</v>
      </c>
      <c r="H68">
        <f t="shared" si="6"/>
        <v>27.414000000000001</v>
      </c>
      <c r="I68">
        <f t="shared" si="7"/>
        <v>136</v>
      </c>
      <c r="J68">
        <f t="shared" si="8"/>
        <v>2515</v>
      </c>
      <c r="K68" t="str">
        <f t="shared" si="9"/>
        <v>Stock OK</v>
      </c>
    </row>
    <row r="69" spans="1:11" x14ac:dyDescent="0.3">
      <c r="A69" t="str">
        <f>Data!A69</f>
        <v>ELE0068</v>
      </c>
      <c r="B69" t="str">
        <f>Data!B69</f>
        <v>Electronics Item 68</v>
      </c>
      <c r="C69" s="2">
        <f>Data!D69</f>
        <v>456</v>
      </c>
      <c r="D69" s="2">
        <f>Data!E69</f>
        <v>59</v>
      </c>
      <c r="E69" s="8">
        <f>Data!F69</f>
        <v>430</v>
      </c>
      <c r="F69">
        <f t="shared" si="5"/>
        <v>5472</v>
      </c>
      <c r="G69">
        <v>50</v>
      </c>
      <c r="H69">
        <f t="shared" si="6"/>
        <v>86</v>
      </c>
      <c r="I69">
        <f t="shared" si="7"/>
        <v>80</v>
      </c>
      <c r="J69">
        <f t="shared" si="8"/>
        <v>2699</v>
      </c>
      <c r="K69" t="str">
        <f t="shared" si="9"/>
        <v>Stock OK</v>
      </c>
    </row>
    <row r="70" spans="1:11" x14ac:dyDescent="0.3">
      <c r="A70" t="str">
        <f>Data!A70</f>
        <v>ELE0069</v>
      </c>
      <c r="B70" t="str">
        <f>Data!B70</f>
        <v>Electronics Item 69</v>
      </c>
      <c r="C70" s="2">
        <f>Data!D70</f>
        <v>166</v>
      </c>
      <c r="D70" s="2">
        <f>Data!E70</f>
        <v>108</v>
      </c>
      <c r="E70" s="8">
        <f>Data!F70</f>
        <v>115.35</v>
      </c>
      <c r="F70">
        <f t="shared" si="5"/>
        <v>1992</v>
      </c>
      <c r="G70">
        <v>50</v>
      </c>
      <c r="H70">
        <f t="shared" si="6"/>
        <v>23.07</v>
      </c>
      <c r="I70">
        <f t="shared" si="7"/>
        <v>93</v>
      </c>
      <c r="J70">
        <f t="shared" si="8"/>
        <v>982</v>
      </c>
      <c r="K70" t="str">
        <f t="shared" si="9"/>
        <v>Stock OK</v>
      </c>
    </row>
    <row r="71" spans="1:11" x14ac:dyDescent="0.3">
      <c r="A71" t="str">
        <f>Data!A71</f>
        <v>ELE0070</v>
      </c>
      <c r="B71" t="str">
        <f>Data!B71</f>
        <v>Electronics Item 70</v>
      </c>
      <c r="C71" s="2">
        <f>Data!D71</f>
        <v>152</v>
      </c>
      <c r="D71" s="2">
        <f>Data!E71</f>
        <v>67</v>
      </c>
      <c r="E71" s="8">
        <f>Data!F71</f>
        <v>483.61</v>
      </c>
      <c r="F71">
        <f t="shared" si="5"/>
        <v>1824</v>
      </c>
      <c r="G71">
        <v>50</v>
      </c>
      <c r="H71">
        <f t="shared" si="6"/>
        <v>96.722000000000008</v>
      </c>
      <c r="I71">
        <f t="shared" si="7"/>
        <v>43</v>
      </c>
      <c r="J71">
        <f t="shared" si="8"/>
        <v>900</v>
      </c>
      <c r="K71" t="str">
        <f t="shared" si="9"/>
        <v>Stock OK</v>
      </c>
    </row>
    <row r="72" spans="1:11" x14ac:dyDescent="0.3">
      <c r="A72" t="str">
        <f>Data!A72</f>
        <v>ELE0071</v>
      </c>
      <c r="B72" t="str">
        <f>Data!B72</f>
        <v>Electronics Item 71</v>
      </c>
      <c r="C72" s="2">
        <f>Data!D72</f>
        <v>214</v>
      </c>
      <c r="D72" s="2">
        <f>Data!E72</f>
        <v>187</v>
      </c>
      <c r="E72" s="8">
        <f>Data!F72</f>
        <v>168.92</v>
      </c>
      <c r="F72">
        <f t="shared" si="5"/>
        <v>2568</v>
      </c>
      <c r="G72">
        <v>50</v>
      </c>
      <c r="H72">
        <f t="shared" si="6"/>
        <v>33.783999999999999</v>
      </c>
      <c r="I72">
        <f t="shared" si="7"/>
        <v>87</v>
      </c>
      <c r="J72">
        <f t="shared" si="8"/>
        <v>1266</v>
      </c>
      <c r="K72" t="str">
        <f t="shared" si="9"/>
        <v>Stock OK</v>
      </c>
    </row>
    <row r="73" spans="1:11" x14ac:dyDescent="0.3">
      <c r="A73" t="str">
        <f>Data!A73</f>
        <v>ELE0072</v>
      </c>
      <c r="B73" t="str">
        <f>Data!B73</f>
        <v>Electronics Item 72</v>
      </c>
      <c r="C73" s="2">
        <f>Data!D73</f>
        <v>307</v>
      </c>
      <c r="D73" s="2">
        <f>Data!E73</f>
        <v>117</v>
      </c>
      <c r="E73" s="8">
        <f>Data!F73</f>
        <v>23.94</v>
      </c>
      <c r="F73">
        <f t="shared" si="5"/>
        <v>3684</v>
      </c>
      <c r="G73">
        <v>50</v>
      </c>
      <c r="H73">
        <f t="shared" si="6"/>
        <v>4.7880000000000003</v>
      </c>
      <c r="I73">
        <f t="shared" si="7"/>
        <v>277</v>
      </c>
      <c r="J73">
        <f t="shared" si="8"/>
        <v>1817</v>
      </c>
      <c r="K73" t="str">
        <f t="shared" si="9"/>
        <v>Stock OK</v>
      </c>
    </row>
    <row r="74" spans="1:11" x14ac:dyDescent="0.3">
      <c r="A74" t="str">
        <f>Data!A74</f>
        <v>ELE0073</v>
      </c>
      <c r="B74" t="str">
        <f>Data!B74</f>
        <v>Electronics Item 73</v>
      </c>
      <c r="C74" s="2">
        <f>Data!D74</f>
        <v>412</v>
      </c>
      <c r="D74" s="2">
        <f>Data!E74</f>
        <v>130</v>
      </c>
      <c r="E74" s="8">
        <f>Data!F74</f>
        <v>221.01</v>
      </c>
      <c r="F74">
        <f t="shared" si="5"/>
        <v>4944</v>
      </c>
      <c r="G74">
        <v>50</v>
      </c>
      <c r="H74">
        <f t="shared" si="6"/>
        <v>44.201999999999998</v>
      </c>
      <c r="I74">
        <f t="shared" si="7"/>
        <v>106</v>
      </c>
      <c r="J74">
        <f t="shared" si="8"/>
        <v>2438</v>
      </c>
      <c r="K74" t="str">
        <f t="shared" si="9"/>
        <v>Stock OK</v>
      </c>
    </row>
    <row r="75" spans="1:11" x14ac:dyDescent="0.3">
      <c r="A75" t="str">
        <f>Data!A75</f>
        <v>ELE0074</v>
      </c>
      <c r="B75" t="str">
        <f>Data!B75</f>
        <v>Electronics Item 74</v>
      </c>
      <c r="C75" s="2">
        <f>Data!D75</f>
        <v>107</v>
      </c>
      <c r="D75" s="2">
        <f>Data!E75</f>
        <v>115</v>
      </c>
      <c r="E75" s="8">
        <f>Data!F75</f>
        <v>26.97</v>
      </c>
      <c r="F75">
        <f t="shared" si="5"/>
        <v>1284</v>
      </c>
      <c r="G75">
        <v>50</v>
      </c>
      <c r="H75">
        <f t="shared" si="6"/>
        <v>5.3940000000000001</v>
      </c>
      <c r="I75">
        <f t="shared" si="7"/>
        <v>154</v>
      </c>
      <c r="J75">
        <f t="shared" si="8"/>
        <v>633</v>
      </c>
      <c r="K75" t="str">
        <f t="shared" si="9"/>
        <v>Order Now</v>
      </c>
    </row>
    <row r="76" spans="1:11" x14ac:dyDescent="0.3">
      <c r="A76" t="str">
        <f>Data!A76</f>
        <v>ELE0075</v>
      </c>
      <c r="B76" t="str">
        <f>Data!B76</f>
        <v>Electronics Item 75</v>
      </c>
      <c r="C76" s="2">
        <f>Data!D76</f>
        <v>361</v>
      </c>
      <c r="D76" s="2">
        <f>Data!E76</f>
        <v>100</v>
      </c>
      <c r="E76" s="8">
        <f>Data!F76</f>
        <v>185.29</v>
      </c>
      <c r="F76">
        <f t="shared" si="5"/>
        <v>4332</v>
      </c>
      <c r="G76">
        <v>50</v>
      </c>
      <c r="H76">
        <f t="shared" si="6"/>
        <v>37.058</v>
      </c>
      <c r="I76">
        <f t="shared" si="7"/>
        <v>108</v>
      </c>
      <c r="J76">
        <f t="shared" si="8"/>
        <v>2136</v>
      </c>
      <c r="K76" t="str">
        <f t="shared" si="9"/>
        <v>Stock OK</v>
      </c>
    </row>
    <row r="77" spans="1:11" x14ac:dyDescent="0.3">
      <c r="A77" t="str">
        <f>Data!A77</f>
        <v>ELE0076</v>
      </c>
      <c r="B77" t="str">
        <f>Data!B77</f>
        <v>Electronics Item 76</v>
      </c>
      <c r="C77" s="2">
        <f>Data!D77</f>
        <v>170</v>
      </c>
      <c r="D77" s="2">
        <f>Data!E77</f>
        <v>81</v>
      </c>
      <c r="E77" s="8">
        <f>Data!F77</f>
        <v>361.28</v>
      </c>
      <c r="F77">
        <f t="shared" si="5"/>
        <v>2040</v>
      </c>
      <c r="G77">
        <v>50</v>
      </c>
      <c r="H77">
        <f t="shared" si="6"/>
        <v>72.256</v>
      </c>
      <c r="I77">
        <f t="shared" si="7"/>
        <v>53</v>
      </c>
      <c r="J77">
        <f t="shared" si="8"/>
        <v>1006</v>
      </c>
      <c r="K77" t="str">
        <f t="shared" si="9"/>
        <v>Stock OK</v>
      </c>
    </row>
    <row r="78" spans="1:11" x14ac:dyDescent="0.3">
      <c r="A78" t="str">
        <f>Data!A78</f>
        <v>ELE0077</v>
      </c>
      <c r="B78" t="str">
        <f>Data!B78</f>
        <v>Electronics Item 77</v>
      </c>
      <c r="C78" s="2">
        <f>Data!D78</f>
        <v>219</v>
      </c>
      <c r="D78" s="2">
        <f>Data!E78</f>
        <v>133</v>
      </c>
      <c r="E78" s="8">
        <f>Data!F78</f>
        <v>204.19</v>
      </c>
      <c r="F78">
        <f t="shared" si="5"/>
        <v>2628</v>
      </c>
      <c r="G78">
        <v>50</v>
      </c>
      <c r="H78">
        <f t="shared" si="6"/>
        <v>40.838000000000001</v>
      </c>
      <c r="I78">
        <f t="shared" si="7"/>
        <v>80</v>
      </c>
      <c r="J78">
        <f t="shared" si="8"/>
        <v>1296</v>
      </c>
      <c r="K78" t="str">
        <f t="shared" si="9"/>
        <v>Stock OK</v>
      </c>
    </row>
    <row r="79" spans="1:11" x14ac:dyDescent="0.3">
      <c r="A79" t="str">
        <f>Data!A79</f>
        <v>ELE0078</v>
      </c>
      <c r="B79" t="str">
        <f>Data!B79</f>
        <v>Electronics Item 78</v>
      </c>
      <c r="C79" s="2">
        <f>Data!D79</f>
        <v>225</v>
      </c>
      <c r="D79" s="2">
        <f>Data!E79</f>
        <v>147</v>
      </c>
      <c r="E79" s="8">
        <f>Data!F79</f>
        <v>340.27</v>
      </c>
      <c r="F79">
        <f t="shared" si="5"/>
        <v>2700</v>
      </c>
      <c r="G79">
        <v>50</v>
      </c>
      <c r="H79">
        <f t="shared" si="6"/>
        <v>68.054000000000002</v>
      </c>
      <c r="I79">
        <f t="shared" si="7"/>
        <v>63</v>
      </c>
      <c r="J79">
        <f t="shared" si="8"/>
        <v>1332</v>
      </c>
      <c r="K79" t="str">
        <f t="shared" si="9"/>
        <v>Stock OK</v>
      </c>
    </row>
    <row r="80" spans="1:11" x14ac:dyDescent="0.3">
      <c r="A80" t="str">
        <f>Data!A80</f>
        <v>ELE0079</v>
      </c>
      <c r="B80" t="str">
        <f>Data!B80</f>
        <v>Electronics Item 79</v>
      </c>
      <c r="C80" s="2">
        <f>Data!D80</f>
        <v>164</v>
      </c>
      <c r="D80" s="2">
        <f>Data!E80</f>
        <v>153</v>
      </c>
      <c r="E80" s="8">
        <f>Data!F80</f>
        <v>276.23</v>
      </c>
      <c r="F80">
        <f t="shared" si="5"/>
        <v>1968</v>
      </c>
      <c r="G80">
        <v>50</v>
      </c>
      <c r="H80">
        <f t="shared" si="6"/>
        <v>55.246000000000009</v>
      </c>
      <c r="I80">
        <f t="shared" si="7"/>
        <v>60</v>
      </c>
      <c r="J80">
        <f t="shared" si="8"/>
        <v>971</v>
      </c>
      <c r="K80" t="str">
        <f t="shared" si="9"/>
        <v>Stock OK</v>
      </c>
    </row>
    <row r="81" spans="1:11" x14ac:dyDescent="0.3">
      <c r="A81" t="str">
        <f>Data!A81</f>
        <v>ELE0080</v>
      </c>
      <c r="B81" t="str">
        <f>Data!B81</f>
        <v>Electronics Item 80</v>
      </c>
      <c r="C81" s="2">
        <f>Data!D81</f>
        <v>230</v>
      </c>
      <c r="D81" s="2">
        <f>Data!E81</f>
        <v>198</v>
      </c>
      <c r="E81" s="8">
        <f>Data!F81</f>
        <v>305.3</v>
      </c>
      <c r="F81">
        <f t="shared" si="5"/>
        <v>2760</v>
      </c>
      <c r="G81">
        <v>50</v>
      </c>
      <c r="H81">
        <f t="shared" si="6"/>
        <v>61.06</v>
      </c>
      <c r="I81">
        <f t="shared" si="7"/>
        <v>67</v>
      </c>
      <c r="J81">
        <f t="shared" si="8"/>
        <v>1361</v>
      </c>
      <c r="K81" t="str">
        <f t="shared" si="9"/>
        <v>Stock OK</v>
      </c>
    </row>
    <row r="82" spans="1:11" x14ac:dyDescent="0.3">
      <c r="A82" t="str">
        <f>Data!A82</f>
        <v>ELE0081</v>
      </c>
      <c r="B82" t="str">
        <f>Data!B82</f>
        <v>Electronics Item 81</v>
      </c>
      <c r="C82" s="2">
        <f>Data!D82</f>
        <v>355</v>
      </c>
      <c r="D82" s="2">
        <f>Data!E82</f>
        <v>104</v>
      </c>
      <c r="E82" s="8">
        <f>Data!F82</f>
        <v>258.02999999999997</v>
      </c>
      <c r="F82">
        <f t="shared" si="5"/>
        <v>4260</v>
      </c>
      <c r="G82">
        <v>50</v>
      </c>
      <c r="H82">
        <f t="shared" si="6"/>
        <v>51.605999999999995</v>
      </c>
      <c r="I82">
        <f t="shared" si="7"/>
        <v>91</v>
      </c>
      <c r="J82">
        <f t="shared" si="8"/>
        <v>2101</v>
      </c>
      <c r="K82" t="str">
        <f t="shared" si="9"/>
        <v>Stock OK</v>
      </c>
    </row>
    <row r="83" spans="1:11" x14ac:dyDescent="0.3">
      <c r="A83" t="str">
        <f>Data!A83</f>
        <v>ELE0082</v>
      </c>
      <c r="B83" t="str">
        <f>Data!B83</f>
        <v>Electronics Item 82</v>
      </c>
      <c r="C83" s="2">
        <f>Data!D83</f>
        <v>53</v>
      </c>
      <c r="D83" s="2">
        <f>Data!E83</f>
        <v>122</v>
      </c>
      <c r="E83" s="8">
        <f>Data!F83</f>
        <v>260.14999999999998</v>
      </c>
      <c r="F83">
        <f t="shared" si="5"/>
        <v>636</v>
      </c>
      <c r="G83">
        <v>50</v>
      </c>
      <c r="H83">
        <f t="shared" si="6"/>
        <v>52.03</v>
      </c>
      <c r="I83">
        <f t="shared" si="7"/>
        <v>35</v>
      </c>
      <c r="J83">
        <f t="shared" si="8"/>
        <v>314</v>
      </c>
      <c r="K83" t="str">
        <f t="shared" si="9"/>
        <v>Order Now</v>
      </c>
    </row>
    <row r="84" spans="1:11" x14ac:dyDescent="0.3">
      <c r="A84" t="str">
        <f>Data!A84</f>
        <v>ELE0083</v>
      </c>
      <c r="B84" t="str">
        <f>Data!B84</f>
        <v>Electronics Item 83</v>
      </c>
      <c r="C84" s="2">
        <f>Data!D84</f>
        <v>429</v>
      </c>
      <c r="D84" s="2">
        <f>Data!E84</f>
        <v>110</v>
      </c>
      <c r="E84" s="8">
        <f>Data!F84</f>
        <v>338.03</v>
      </c>
      <c r="F84">
        <f t="shared" si="5"/>
        <v>5148</v>
      </c>
      <c r="G84">
        <v>50</v>
      </c>
      <c r="H84">
        <f t="shared" si="6"/>
        <v>67.605999999999995</v>
      </c>
      <c r="I84">
        <f t="shared" si="7"/>
        <v>87</v>
      </c>
      <c r="J84">
        <f t="shared" si="8"/>
        <v>2539</v>
      </c>
      <c r="K84" t="str">
        <f t="shared" si="9"/>
        <v>Stock OK</v>
      </c>
    </row>
    <row r="85" spans="1:11" x14ac:dyDescent="0.3">
      <c r="A85" t="str">
        <f>Data!A85</f>
        <v>ELE0084</v>
      </c>
      <c r="B85" t="str">
        <f>Data!B85</f>
        <v>Electronics Item 84</v>
      </c>
      <c r="C85" s="2">
        <f>Data!D85</f>
        <v>33</v>
      </c>
      <c r="D85" s="2">
        <f>Data!E85</f>
        <v>112</v>
      </c>
      <c r="E85" s="8">
        <f>Data!F85</f>
        <v>492.05</v>
      </c>
      <c r="F85">
        <f t="shared" si="5"/>
        <v>396</v>
      </c>
      <c r="G85">
        <v>50</v>
      </c>
      <c r="H85">
        <f t="shared" si="6"/>
        <v>98.410000000000011</v>
      </c>
      <c r="I85">
        <f t="shared" si="7"/>
        <v>20</v>
      </c>
      <c r="J85">
        <f t="shared" si="8"/>
        <v>195</v>
      </c>
      <c r="K85" t="str">
        <f t="shared" si="9"/>
        <v>Order Now</v>
      </c>
    </row>
    <row r="86" spans="1:11" x14ac:dyDescent="0.3">
      <c r="A86" t="str">
        <f>Data!A86</f>
        <v>ELE0085</v>
      </c>
      <c r="B86" t="str">
        <f>Data!B86</f>
        <v>Electronics Item 85</v>
      </c>
      <c r="C86" s="2">
        <f>Data!D86</f>
        <v>463</v>
      </c>
      <c r="D86" s="2">
        <f>Data!E86</f>
        <v>197</v>
      </c>
      <c r="E86" s="8">
        <f>Data!F86</f>
        <v>101.25</v>
      </c>
      <c r="F86">
        <f t="shared" si="5"/>
        <v>5556</v>
      </c>
      <c r="G86">
        <v>50</v>
      </c>
      <c r="H86">
        <f t="shared" si="6"/>
        <v>20.25</v>
      </c>
      <c r="I86">
        <f t="shared" si="7"/>
        <v>166</v>
      </c>
      <c r="J86">
        <f t="shared" si="8"/>
        <v>2740</v>
      </c>
      <c r="K86" t="str">
        <f t="shared" si="9"/>
        <v>Stock OK</v>
      </c>
    </row>
    <row r="87" spans="1:11" x14ac:dyDescent="0.3">
      <c r="A87" t="str">
        <f>Data!A87</f>
        <v>ELE0086</v>
      </c>
      <c r="B87" t="str">
        <f>Data!B87</f>
        <v>Electronics Item 86</v>
      </c>
      <c r="C87" s="2">
        <f>Data!D87</f>
        <v>134</v>
      </c>
      <c r="D87" s="2">
        <f>Data!E87</f>
        <v>87</v>
      </c>
      <c r="E87" s="8">
        <f>Data!F87</f>
        <v>329.75</v>
      </c>
      <c r="F87">
        <f t="shared" si="5"/>
        <v>1608</v>
      </c>
      <c r="G87">
        <v>50</v>
      </c>
      <c r="H87">
        <f t="shared" si="6"/>
        <v>65.95</v>
      </c>
      <c r="I87">
        <f t="shared" si="7"/>
        <v>49</v>
      </c>
      <c r="J87">
        <f t="shared" si="8"/>
        <v>793</v>
      </c>
      <c r="K87" t="str">
        <f t="shared" si="9"/>
        <v>Stock OK</v>
      </c>
    </row>
    <row r="88" spans="1:11" x14ac:dyDescent="0.3">
      <c r="A88" t="str">
        <f>Data!A88</f>
        <v>ELE0087</v>
      </c>
      <c r="B88" t="str">
        <f>Data!B88</f>
        <v>Electronics Item 87</v>
      </c>
      <c r="C88" s="2">
        <f>Data!D88</f>
        <v>100</v>
      </c>
      <c r="D88" s="2">
        <f>Data!E88</f>
        <v>182</v>
      </c>
      <c r="E88" s="8">
        <f>Data!F88</f>
        <v>234.95</v>
      </c>
      <c r="F88">
        <f t="shared" si="5"/>
        <v>1200</v>
      </c>
      <c r="G88">
        <v>50</v>
      </c>
      <c r="H88">
        <f t="shared" si="6"/>
        <v>46.99</v>
      </c>
      <c r="I88">
        <f t="shared" si="7"/>
        <v>51</v>
      </c>
      <c r="J88">
        <f t="shared" si="8"/>
        <v>592</v>
      </c>
      <c r="K88" t="str">
        <f t="shared" si="9"/>
        <v>Order Now</v>
      </c>
    </row>
    <row r="89" spans="1:11" x14ac:dyDescent="0.3">
      <c r="A89" t="str">
        <f>Data!A89</f>
        <v>ELE0088</v>
      </c>
      <c r="B89" t="str">
        <f>Data!B89</f>
        <v>Electronics Item 88</v>
      </c>
      <c r="C89" s="2">
        <f>Data!D89</f>
        <v>78</v>
      </c>
      <c r="D89" s="2">
        <f>Data!E89</f>
        <v>168</v>
      </c>
      <c r="E89" s="8">
        <f>Data!F89</f>
        <v>335.45</v>
      </c>
      <c r="F89">
        <f t="shared" si="5"/>
        <v>936</v>
      </c>
      <c r="G89">
        <v>50</v>
      </c>
      <c r="H89">
        <f t="shared" si="6"/>
        <v>67.09</v>
      </c>
      <c r="I89">
        <f t="shared" si="7"/>
        <v>37</v>
      </c>
      <c r="J89">
        <f t="shared" si="8"/>
        <v>462</v>
      </c>
      <c r="K89" t="str">
        <f t="shared" si="9"/>
        <v>Order Now</v>
      </c>
    </row>
    <row r="90" spans="1:11" x14ac:dyDescent="0.3">
      <c r="A90" t="str">
        <f>Data!A90</f>
        <v>ELE0089</v>
      </c>
      <c r="B90" t="str">
        <f>Data!B90</f>
        <v>Electronics Item 89</v>
      </c>
      <c r="C90" s="2">
        <f>Data!D90</f>
        <v>323</v>
      </c>
      <c r="D90" s="2">
        <f>Data!E90</f>
        <v>179</v>
      </c>
      <c r="E90" s="8">
        <f>Data!F90</f>
        <v>216.24</v>
      </c>
      <c r="F90">
        <f t="shared" si="5"/>
        <v>3876</v>
      </c>
      <c r="G90">
        <v>50</v>
      </c>
      <c r="H90">
        <f t="shared" si="6"/>
        <v>43.248000000000005</v>
      </c>
      <c r="I90">
        <f t="shared" si="7"/>
        <v>95</v>
      </c>
      <c r="J90">
        <f t="shared" si="8"/>
        <v>1911</v>
      </c>
      <c r="K90" t="str">
        <f t="shared" si="9"/>
        <v>Stock OK</v>
      </c>
    </row>
    <row r="91" spans="1:11" x14ac:dyDescent="0.3">
      <c r="A91" t="str">
        <f>Data!A91</f>
        <v>ELE0090</v>
      </c>
      <c r="B91" t="str">
        <f>Data!B91</f>
        <v>Electronics Item 90</v>
      </c>
      <c r="C91" s="2">
        <f>Data!D91</f>
        <v>390</v>
      </c>
      <c r="D91" s="2">
        <f>Data!E91</f>
        <v>171</v>
      </c>
      <c r="E91" s="8">
        <f>Data!F91</f>
        <v>227.78</v>
      </c>
      <c r="F91">
        <f t="shared" si="5"/>
        <v>4680</v>
      </c>
      <c r="G91">
        <v>50</v>
      </c>
      <c r="H91">
        <f t="shared" si="6"/>
        <v>45.556000000000004</v>
      </c>
      <c r="I91">
        <f t="shared" si="7"/>
        <v>101</v>
      </c>
      <c r="J91">
        <f t="shared" si="8"/>
        <v>2308</v>
      </c>
      <c r="K91" t="str">
        <f t="shared" si="9"/>
        <v>Stock OK</v>
      </c>
    </row>
    <row r="92" spans="1:11" x14ac:dyDescent="0.3">
      <c r="A92" t="str">
        <f>Data!A92</f>
        <v>ELE0091</v>
      </c>
      <c r="B92" t="str">
        <f>Data!B92</f>
        <v>Electronics Item 91</v>
      </c>
      <c r="C92" s="2">
        <f>Data!D92</f>
        <v>402</v>
      </c>
      <c r="D92" s="2">
        <f>Data!E92</f>
        <v>183</v>
      </c>
      <c r="E92" s="8">
        <f>Data!F92</f>
        <v>244.88</v>
      </c>
      <c r="F92">
        <f t="shared" si="5"/>
        <v>4824</v>
      </c>
      <c r="G92">
        <v>50</v>
      </c>
      <c r="H92">
        <f t="shared" si="6"/>
        <v>48.975999999999999</v>
      </c>
      <c r="I92">
        <f t="shared" si="7"/>
        <v>99</v>
      </c>
      <c r="J92">
        <f t="shared" si="8"/>
        <v>2379</v>
      </c>
      <c r="K92" t="str">
        <f t="shared" si="9"/>
        <v>Stock OK</v>
      </c>
    </row>
    <row r="93" spans="1:11" x14ac:dyDescent="0.3">
      <c r="A93" t="str">
        <f>Data!A93</f>
        <v>ELE0092</v>
      </c>
      <c r="B93" t="str">
        <f>Data!B93</f>
        <v>Electronics Item 92</v>
      </c>
      <c r="C93" s="2">
        <f>Data!D93</f>
        <v>375</v>
      </c>
      <c r="D93" s="2">
        <f>Data!E93</f>
        <v>123</v>
      </c>
      <c r="E93" s="8">
        <f>Data!F93</f>
        <v>121.07</v>
      </c>
      <c r="F93">
        <f t="shared" si="5"/>
        <v>4500</v>
      </c>
      <c r="G93">
        <v>50</v>
      </c>
      <c r="H93">
        <f t="shared" si="6"/>
        <v>24.213999999999999</v>
      </c>
      <c r="I93">
        <f t="shared" si="7"/>
        <v>136</v>
      </c>
      <c r="J93">
        <f t="shared" si="8"/>
        <v>2219</v>
      </c>
      <c r="K93" t="str">
        <f t="shared" si="9"/>
        <v>Stock OK</v>
      </c>
    </row>
    <row r="94" spans="1:11" x14ac:dyDescent="0.3">
      <c r="A94" t="str">
        <f>Data!A94</f>
        <v>ELE0093</v>
      </c>
      <c r="B94" t="str">
        <f>Data!B94</f>
        <v>Electronics Item 93</v>
      </c>
      <c r="C94" s="2">
        <f>Data!D94</f>
        <v>80</v>
      </c>
      <c r="D94" s="2">
        <f>Data!E94</f>
        <v>88</v>
      </c>
      <c r="E94" s="8">
        <f>Data!F94</f>
        <v>119.47</v>
      </c>
      <c r="F94">
        <f t="shared" si="5"/>
        <v>960</v>
      </c>
      <c r="G94">
        <v>50</v>
      </c>
      <c r="H94">
        <f t="shared" si="6"/>
        <v>23.894000000000002</v>
      </c>
      <c r="I94">
        <f t="shared" si="7"/>
        <v>63</v>
      </c>
      <c r="J94">
        <f t="shared" si="8"/>
        <v>473</v>
      </c>
      <c r="K94" t="str">
        <f t="shared" si="9"/>
        <v>Order Now</v>
      </c>
    </row>
    <row r="95" spans="1:11" x14ac:dyDescent="0.3">
      <c r="A95" t="str">
        <f>Data!A95</f>
        <v>ELE0094</v>
      </c>
      <c r="B95" t="str">
        <f>Data!B95</f>
        <v>Electronics Item 94</v>
      </c>
      <c r="C95" s="2">
        <f>Data!D95</f>
        <v>42</v>
      </c>
      <c r="D95" s="2">
        <f>Data!E95</f>
        <v>156</v>
      </c>
      <c r="E95" s="8">
        <f>Data!F95</f>
        <v>206.76</v>
      </c>
      <c r="F95">
        <f t="shared" si="5"/>
        <v>504</v>
      </c>
      <c r="G95">
        <v>50</v>
      </c>
      <c r="H95">
        <f t="shared" si="6"/>
        <v>41.352000000000004</v>
      </c>
      <c r="I95">
        <f t="shared" si="7"/>
        <v>35</v>
      </c>
      <c r="J95">
        <f t="shared" si="8"/>
        <v>249</v>
      </c>
      <c r="K95" t="str">
        <f t="shared" si="9"/>
        <v>Order Now</v>
      </c>
    </row>
    <row r="96" spans="1:11" x14ac:dyDescent="0.3">
      <c r="A96" t="str">
        <f>Data!A96</f>
        <v>ELE0095</v>
      </c>
      <c r="B96" t="str">
        <f>Data!B96</f>
        <v>Electronics Item 95</v>
      </c>
      <c r="C96" s="2">
        <f>Data!D96</f>
        <v>115</v>
      </c>
      <c r="D96" s="2">
        <f>Data!E96</f>
        <v>157</v>
      </c>
      <c r="E96" s="8">
        <f>Data!F96</f>
        <v>197.79</v>
      </c>
      <c r="F96">
        <f t="shared" si="5"/>
        <v>1380</v>
      </c>
      <c r="G96">
        <v>50</v>
      </c>
      <c r="H96">
        <f t="shared" si="6"/>
        <v>39.558</v>
      </c>
      <c r="I96">
        <f t="shared" si="7"/>
        <v>59</v>
      </c>
      <c r="J96">
        <f t="shared" si="8"/>
        <v>681</v>
      </c>
      <c r="K96" t="str">
        <f t="shared" si="9"/>
        <v>Order Now</v>
      </c>
    </row>
    <row r="97" spans="1:11" x14ac:dyDescent="0.3">
      <c r="A97" t="str">
        <f>Data!A97</f>
        <v>ELE0096</v>
      </c>
      <c r="B97" t="str">
        <f>Data!B97</f>
        <v>Electronics Item 96</v>
      </c>
      <c r="C97" s="2">
        <f>Data!D97</f>
        <v>448</v>
      </c>
      <c r="D97" s="2">
        <f>Data!E97</f>
        <v>197</v>
      </c>
      <c r="E97" s="8">
        <f>Data!F97</f>
        <v>193.29</v>
      </c>
      <c r="F97">
        <f t="shared" si="5"/>
        <v>5376</v>
      </c>
      <c r="G97">
        <v>50</v>
      </c>
      <c r="H97">
        <f t="shared" si="6"/>
        <v>38.658000000000001</v>
      </c>
      <c r="I97">
        <f t="shared" si="7"/>
        <v>118</v>
      </c>
      <c r="J97">
        <f t="shared" si="8"/>
        <v>2651</v>
      </c>
      <c r="K97" t="str">
        <f t="shared" si="9"/>
        <v>Stock OK</v>
      </c>
    </row>
    <row r="98" spans="1:11" x14ac:dyDescent="0.3">
      <c r="A98" t="str">
        <f>Data!A98</f>
        <v>ELE0097</v>
      </c>
      <c r="B98" t="str">
        <f>Data!B98</f>
        <v>Electronics Item 97</v>
      </c>
      <c r="C98" s="2">
        <f>Data!D98</f>
        <v>446</v>
      </c>
      <c r="D98" s="2">
        <f>Data!E98</f>
        <v>157</v>
      </c>
      <c r="E98" s="8">
        <f>Data!F98</f>
        <v>271.42</v>
      </c>
      <c r="F98">
        <f t="shared" si="5"/>
        <v>5352</v>
      </c>
      <c r="G98">
        <v>50</v>
      </c>
      <c r="H98">
        <f t="shared" si="6"/>
        <v>54.284000000000006</v>
      </c>
      <c r="I98">
        <f t="shared" si="7"/>
        <v>99</v>
      </c>
      <c r="J98">
        <f t="shared" si="8"/>
        <v>2639</v>
      </c>
      <c r="K98" t="str">
        <f t="shared" si="9"/>
        <v>Stock OK</v>
      </c>
    </row>
    <row r="99" spans="1:11" x14ac:dyDescent="0.3">
      <c r="A99" t="str">
        <f>Data!A99</f>
        <v>ELE0098</v>
      </c>
      <c r="B99" t="str">
        <f>Data!B99</f>
        <v>Electronics Item 98</v>
      </c>
      <c r="C99" s="2">
        <f>Data!D99</f>
        <v>259</v>
      </c>
      <c r="D99" s="2">
        <f>Data!E99</f>
        <v>106</v>
      </c>
      <c r="E99" s="8">
        <f>Data!F99</f>
        <v>140.1</v>
      </c>
      <c r="F99">
        <f t="shared" si="5"/>
        <v>3108</v>
      </c>
      <c r="G99">
        <v>50</v>
      </c>
      <c r="H99">
        <f t="shared" si="6"/>
        <v>28.02</v>
      </c>
      <c r="I99">
        <f t="shared" si="7"/>
        <v>105</v>
      </c>
      <c r="J99">
        <f t="shared" si="8"/>
        <v>1533</v>
      </c>
      <c r="K99" t="str">
        <f t="shared" si="9"/>
        <v>Stock OK</v>
      </c>
    </row>
    <row r="100" spans="1:11" x14ac:dyDescent="0.3">
      <c r="A100" t="str">
        <f>Data!A100</f>
        <v>ELE0099</v>
      </c>
      <c r="B100" t="str">
        <f>Data!B100</f>
        <v>Electronics Item 99</v>
      </c>
      <c r="C100" s="2">
        <f>Data!D100</f>
        <v>352</v>
      </c>
      <c r="D100" s="2">
        <f>Data!E100</f>
        <v>153</v>
      </c>
      <c r="E100" s="8">
        <f>Data!F100</f>
        <v>363.47</v>
      </c>
      <c r="F100">
        <f t="shared" si="5"/>
        <v>4224</v>
      </c>
      <c r="G100">
        <v>50</v>
      </c>
      <c r="H100">
        <f t="shared" si="6"/>
        <v>72.694000000000003</v>
      </c>
      <c r="I100">
        <f t="shared" si="7"/>
        <v>76</v>
      </c>
      <c r="J100">
        <f t="shared" si="8"/>
        <v>2083</v>
      </c>
      <c r="K100" t="str">
        <f t="shared" si="9"/>
        <v>Stock OK</v>
      </c>
    </row>
    <row r="101" spans="1:11" x14ac:dyDescent="0.3">
      <c r="A101" t="str">
        <f>Data!A101</f>
        <v>ELE0100</v>
      </c>
      <c r="B101" t="str">
        <f>Data!B101</f>
        <v>Electronics Item 100</v>
      </c>
      <c r="C101" s="2">
        <f>Data!D101</f>
        <v>283</v>
      </c>
      <c r="D101" s="2">
        <f>Data!E101</f>
        <v>56</v>
      </c>
      <c r="E101" s="8">
        <f>Data!F101</f>
        <v>453.93</v>
      </c>
      <c r="F101">
        <f t="shared" si="5"/>
        <v>3396</v>
      </c>
      <c r="G101">
        <v>50</v>
      </c>
      <c r="H101">
        <f t="shared" si="6"/>
        <v>90.786000000000001</v>
      </c>
      <c r="I101">
        <f t="shared" si="7"/>
        <v>61</v>
      </c>
      <c r="J101">
        <f t="shared" si="8"/>
        <v>1675</v>
      </c>
      <c r="K101" t="str">
        <f t="shared" si="9"/>
        <v>Stock OK</v>
      </c>
    </row>
    <row r="102" spans="1:11" x14ac:dyDescent="0.3">
      <c r="A102" t="str">
        <f>Data!A102</f>
        <v>ELE0101</v>
      </c>
      <c r="B102" t="str">
        <f>Data!B102</f>
        <v>Electronics Item 101</v>
      </c>
      <c r="C102" s="2">
        <f>Data!D102</f>
        <v>52</v>
      </c>
      <c r="D102" s="2">
        <f>Data!E102</f>
        <v>159</v>
      </c>
      <c r="E102" s="8">
        <f>Data!F102</f>
        <v>72.17</v>
      </c>
      <c r="F102">
        <f t="shared" si="5"/>
        <v>624</v>
      </c>
      <c r="G102">
        <v>50</v>
      </c>
      <c r="H102">
        <f t="shared" si="6"/>
        <v>14.434000000000001</v>
      </c>
      <c r="I102">
        <f t="shared" si="7"/>
        <v>66</v>
      </c>
      <c r="J102">
        <f t="shared" si="8"/>
        <v>308</v>
      </c>
      <c r="K102" t="str">
        <f t="shared" si="9"/>
        <v>Order Now</v>
      </c>
    </row>
    <row r="103" spans="1:11" x14ac:dyDescent="0.3">
      <c r="A103" t="str">
        <f>Data!A103</f>
        <v>ELE0102</v>
      </c>
      <c r="B103" t="str">
        <f>Data!B103</f>
        <v>Electronics Item 102</v>
      </c>
      <c r="C103" s="2">
        <f>Data!D103</f>
        <v>204</v>
      </c>
      <c r="D103" s="2">
        <f>Data!E103</f>
        <v>133</v>
      </c>
      <c r="E103" s="8">
        <f>Data!F103</f>
        <v>109.77</v>
      </c>
      <c r="F103">
        <f t="shared" si="5"/>
        <v>2448</v>
      </c>
      <c r="G103">
        <v>50</v>
      </c>
      <c r="H103">
        <f t="shared" si="6"/>
        <v>21.954000000000001</v>
      </c>
      <c r="I103">
        <f t="shared" si="7"/>
        <v>106</v>
      </c>
      <c r="J103">
        <f t="shared" si="8"/>
        <v>1207</v>
      </c>
      <c r="K103" t="str">
        <f t="shared" si="9"/>
        <v>Stock OK</v>
      </c>
    </row>
    <row r="104" spans="1:11" x14ac:dyDescent="0.3">
      <c r="A104" t="str">
        <f>Data!A104</f>
        <v>ELE0103</v>
      </c>
      <c r="B104" t="str">
        <f>Data!B104</f>
        <v>Electronics Item 103</v>
      </c>
      <c r="C104" s="2">
        <f>Data!D104</f>
        <v>395</v>
      </c>
      <c r="D104" s="2">
        <f>Data!E104</f>
        <v>157</v>
      </c>
      <c r="E104" s="8">
        <f>Data!F104</f>
        <v>129.87</v>
      </c>
      <c r="F104">
        <f t="shared" si="5"/>
        <v>4740</v>
      </c>
      <c r="G104">
        <v>50</v>
      </c>
      <c r="H104">
        <f t="shared" si="6"/>
        <v>25.974000000000004</v>
      </c>
      <c r="I104">
        <f t="shared" si="7"/>
        <v>135</v>
      </c>
      <c r="J104">
        <f t="shared" si="8"/>
        <v>2338</v>
      </c>
      <c r="K104" t="str">
        <f t="shared" si="9"/>
        <v>Stock OK</v>
      </c>
    </row>
    <row r="105" spans="1:11" x14ac:dyDescent="0.3">
      <c r="A105" t="str">
        <f>Data!A105</f>
        <v>ELE0104</v>
      </c>
      <c r="B105" t="str">
        <f>Data!B105</f>
        <v>Electronics Item 104</v>
      </c>
      <c r="C105" s="2">
        <f>Data!D105</f>
        <v>286</v>
      </c>
      <c r="D105" s="2">
        <f>Data!E105</f>
        <v>63</v>
      </c>
      <c r="E105" s="8">
        <f>Data!F105</f>
        <v>499.95</v>
      </c>
      <c r="F105">
        <f t="shared" si="5"/>
        <v>3432</v>
      </c>
      <c r="G105">
        <v>50</v>
      </c>
      <c r="H105">
        <f t="shared" si="6"/>
        <v>99.990000000000009</v>
      </c>
      <c r="I105">
        <f t="shared" si="7"/>
        <v>59</v>
      </c>
      <c r="J105">
        <f t="shared" si="8"/>
        <v>1692</v>
      </c>
      <c r="K105" t="str">
        <f t="shared" si="9"/>
        <v>Stock OK</v>
      </c>
    </row>
    <row r="106" spans="1:11" x14ac:dyDescent="0.3">
      <c r="A106" t="str">
        <f>Data!A106</f>
        <v>ELE0105</v>
      </c>
      <c r="B106" t="str">
        <f>Data!B106</f>
        <v>Electronics Item 105</v>
      </c>
      <c r="C106" s="2">
        <f>Data!D106</f>
        <v>409</v>
      </c>
      <c r="D106" s="2">
        <f>Data!E106</f>
        <v>60</v>
      </c>
      <c r="E106" s="8">
        <f>Data!F106</f>
        <v>378.35</v>
      </c>
      <c r="F106">
        <f t="shared" si="5"/>
        <v>4908</v>
      </c>
      <c r="G106">
        <v>50</v>
      </c>
      <c r="H106">
        <f t="shared" si="6"/>
        <v>75.67</v>
      </c>
      <c r="I106">
        <f t="shared" si="7"/>
        <v>81</v>
      </c>
      <c r="J106">
        <f t="shared" si="8"/>
        <v>2420</v>
      </c>
      <c r="K106" t="str">
        <f t="shared" si="9"/>
        <v>Stock OK</v>
      </c>
    </row>
    <row r="107" spans="1:11" x14ac:dyDescent="0.3">
      <c r="A107" t="str">
        <f>Data!A107</f>
        <v>ELE0106</v>
      </c>
      <c r="B107" t="str">
        <f>Data!B107</f>
        <v>Electronics Item 106</v>
      </c>
      <c r="C107" s="2">
        <f>Data!D107</f>
        <v>328</v>
      </c>
      <c r="D107" s="2">
        <f>Data!E107</f>
        <v>89</v>
      </c>
      <c r="E107" s="8">
        <f>Data!F107</f>
        <v>123.08</v>
      </c>
      <c r="F107">
        <f t="shared" si="5"/>
        <v>3936</v>
      </c>
      <c r="G107">
        <v>50</v>
      </c>
      <c r="H107">
        <f t="shared" si="6"/>
        <v>24.616</v>
      </c>
      <c r="I107">
        <f t="shared" si="7"/>
        <v>126</v>
      </c>
      <c r="J107">
        <f t="shared" si="8"/>
        <v>1941</v>
      </c>
      <c r="K107" t="str">
        <f t="shared" si="9"/>
        <v>Stock OK</v>
      </c>
    </row>
    <row r="108" spans="1:11" x14ac:dyDescent="0.3">
      <c r="A108" t="str">
        <f>Data!A108</f>
        <v>ELE0107</v>
      </c>
      <c r="B108" t="str">
        <f>Data!B108</f>
        <v>Electronics Item 107</v>
      </c>
      <c r="C108" s="2">
        <f>Data!D108</f>
        <v>495</v>
      </c>
      <c r="D108" s="2">
        <f>Data!E108</f>
        <v>105</v>
      </c>
      <c r="E108" s="8">
        <f>Data!F108</f>
        <v>235.19</v>
      </c>
      <c r="F108">
        <f t="shared" si="5"/>
        <v>5940</v>
      </c>
      <c r="G108">
        <v>50</v>
      </c>
      <c r="H108">
        <f t="shared" si="6"/>
        <v>47.038000000000004</v>
      </c>
      <c r="I108">
        <f t="shared" si="7"/>
        <v>112</v>
      </c>
      <c r="J108">
        <f t="shared" si="8"/>
        <v>2929</v>
      </c>
      <c r="K108" t="str">
        <f t="shared" si="9"/>
        <v>Stock OK</v>
      </c>
    </row>
    <row r="109" spans="1:11" x14ac:dyDescent="0.3">
      <c r="A109" t="str">
        <f>Data!A109</f>
        <v>ELE0108</v>
      </c>
      <c r="B109" t="str">
        <f>Data!B109</f>
        <v>Electronics Item 108</v>
      </c>
      <c r="C109" s="2">
        <f>Data!D109</f>
        <v>320</v>
      </c>
      <c r="D109" s="2">
        <f>Data!E109</f>
        <v>79</v>
      </c>
      <c r="E109" s="8">
        <f>Data!F109</f>
        <v>390.01</v>
      </c>
      <c r="F109">
        <f t="shared" si="5"/>
        <v>3840</v>
      </c>
      <c r="G109">
        <v>50</v>
      </c>
      <c r="H109">
        <f t="shared" si="6"/>
        <v>78.00200000000001</v>
      </c>
      <c r="I109">
        <f t="shared" si="7"/>
        <v>70</v>
      </c>
      <c r="J109">
        <f t="shared" si="8"/>
        <v>1894</v>
      </c>
      <c r="K109" t="str">
        <f t="shared" si="9"/>
        <v>Stock OK</v>
      </c>
    </row>
    <row r="110" spans="1:11" x14ac:dyDescent="0.3">
      <c r="A110" t="str">
        <f>Data!A110</f>
        <v>ELE0109</v>
      </c>
      <c r="B110" t="str">
        <f>Data!B110</f>
        <v>Electronics Item 109</v>
      </c>
      <c r="C110" s="2">
        <f>Data!D110</f>
        <v>23</v>
      </c>
      <c r="D110" s="2">
        <f>Data!E110</f>
        <v>129</v>
      </c>
      <c r="E110" s="8">
        <f>Data!F110</f>
        <v>290.02</v>
      </c>
      <c r="F110">
        <f t="shared" si="5"/>
        <v>276</v>
      </c>
      <c r="G110">
        <v>50</v>
      </c>
      <c r="H110">
        <f t="shared" si="6"/>
        <v>58.003999999999998</v>
      </c>
      <c r="I110">
        <f t="shared" si="7"/>
        <v>22</v>
      </c>
      <c r="J110">
        <f t="shared" si="8"/>
        <v>136</v>
      </c>
      <c r="K110" t="str">
        <f t="shared" si="9"/>
        <v>Order Now</v>
      </c>
    </row>
    <row r="111" spans="1:11" x14ac:dyDescent="0.3">
      <c r="A111" t="str">
        <f>Data!A111</f>
        <v>ELE0110</v>
      </c>
      <c r="B111" t="str">
        <f>Data!B111</f>
        <v>Electronics Item 110</v>
      </c>
      <c r="C111" s="2">
        <f>Data!D111</f>
        <v>111</v>
      </c>
      <c r="D111" s="2">
        <f>Data!E111</f>
        <v>69</v>
      </c>
      <c r="E111" s="8">
        <f>Data!F111</f>
        <v>298.08999999999997</v>
      </c>
      <c r="F111">
        <f t="shared" si="5"/>
        <v>1332</v>
      </c>
      <c r="G111">
        <v>50</v>
      </c>
      <c r="H111">
        <f t="shared" si="6"/>
        <v>59.617999999999995</v>
      </c>
      <c r="I111">
        <f t="shared" si="7"/>
        <v>47</v>
      </c>
      <c r="J111">
        <f t="shared" si="8"/>
        <v>657</v>
      </c>
      <c r="K111" t="str">
        <f t="shared" si="9"/>
        <v>Stock OK</v>
      </c>
    </row>
    <row r="112" spans="1:11" x14ac:dyDescent="0.3">
      <c r="A112" t="str">
        <f>Data!A112</f>
        <v>ELE0111</v>
      </c>
      <c r="B112" t="str">
        <f>Data!B112</f>
        <v>Electronics Item 111</v>
      </c>
      <c r="C112" s="2">
        <f>Data!D112</f>
        <v>366</v>
      </c>
      <c r="D112" s="2">
        <f>Data!E112</f>
        <v>127</v>
      </c>
      <c r="E112" s="8">
        <f>Data!F112</f>
        <v>425.9</v>
      </c>
      <c r="F112">
        <f t="shared" si="5"/>
        <v>4392</v>
      </c>
      <c r="G112">
        <v>50</v>
      </c>
      <c r="H112">
        <f t="shared" si="6"/>
        <v>85.18</v>
      </c>
      <c r="I112">
        <f t="shared" si="7"/>
        <v>72</v>
      </c>
      <c r="J112">
        <f t="shared" si="8"/>
        <v>2166</v>
      </c>
      <c r="K112" t="str">
        <f t="shared" si="9"/>
        <v>Stock OK</v>
      </c>
    </row>
    <row r="113" spans="1:11" x14ac:dyDescent="0.3">
      <c r="A113" t="str">
        <f>Data!A113</f>
        <v>ELE0112</v>
      </c>
      <c r="B113" t="str">
        <f>Data!B113</f>
        <v>Electronics Item 112</v>
      </c>
      <c r="C113" s="2">
        <f>Data!D113</f>
        <v>187</v>
      </c>
      <c r="D113" s="2">
        <f>Data!E113</f>
        <v>186</v>
      </c>
      <c r="E113" s="8">
        <f>Data!F113</f>
        <v>217.05</v>
      </c>
      <c r="F113">
        <f t="shared" si="5"/>
        <v>2244</v>
      </c>
      <c r="G113">
        <v>50</v>
      </c>
      <c r="H113">
        <f t="shared" si="6"/>
        <v>43.410000000000004</v>
      </c>
      <c r="I113">
        <f t="shared" si="7"/>
        <v>72</v>
      </c>
      <c r="J113">
        <f t="shared" si="8"/>
        <v>1107</v>
      </c>
      <c r="K113" t="str">
        <f t="shared" si="9"/>
        <v>Stock OK</v>
      </c>
    </row>
    <row r="114" spans="1:11" x14ac:dyDescent="0.3">
      <c r="A114" t="str">
        <f>Data!A114</f>
        <v>ELE0113</v>
      </c>
      <c r="B114" t="str">
        <f>Data!B114</f>
        <v>Electronics Item 113</v>
      </c>
      <c r="C114" s="2">
        <f>Data!D114</f>
        <v>184</v>
      </c>
      <c r="D114" s="2">
        <f>Data!E114</f>
        <v>53</v>
      </c>
      <c r="E114" s="8">
        <f>Data!F114</f>
        <v>425.54</v>
      </c>
      <c r="F114">
        <f t="shared" si="5"/>
        <v>2208</v>
      </c>
      <c r="G114">
        <v>50</v>
      </c>
      <c r="H114">
        <f t="shared" si="6"/>
        <v>85.108000000000004</v>
      </c>
      <c r="I114">
        <f t="shared" si="7"/>
        <v>51</v>
      </c>
      <c r="J114">
        <f t="shared" si="8"/>
        <v>1089</v>
      </c>
      <c r="K114" t="str">
        <f t="shared" si="9"/>
        <v>Stock OK</v>
      </c>
    </row>
    <row r="115" spans="1:11" x14ac:dyDescent="0.3">
      <c r="A115" t="str">
        <f>Data!A115</f>
        <v>ELE0114</v>
      </c>
      <c r="B115" t="str">
        <f>Data!B115</f>
        <v>Electronics Item 114</v>
      </c>
      <c r="C115" s="2">
        <f>Data!D115</f>
        <v>195</v>
      </c>
      <c r="D115" s="2">
        <f>Data!E115</f>
        <v>167</v>
      </c>
      <c r="E115" s="8">
        <f>Data!F115</f>
        <v>355.12</v>
      </c>
      <c r="F115">
        <f t="shared" si="5"/>
        <v>2340</v>
      </c>
      <c r="G115">
        <v>50</v>
      </c>
      <c r="H115">
        <f t="shared" si="6"/>
        <v>71.024000000000001</v>
      </c>
      <c r="I115">
        <f t="shared" si="7"/>
        <v>57</v>
      </c>
      <c r="J115">
        <f t="shared" si="8"/>
        <v>1154</v>
      </c>
      <c r="K115" t="str">
        <f t="shared" si="9"/>
        <v>Stock OK</v>
      </c>
    </row>
    <row r="116" spans="1:11" x14ac:dyDescent="0.3">
      <c r="A116" t="str">
        <f>Data!A116</f>
        <v>ELE0115</v>
      </c>
      <c r="B116" t="str">
        <f>Data!B116</f>
        <v>Electronics Item 115</v>
      </c>
      <c r="C116" s="2">
        <f>Data!D116</f>
        <v>343</v>
      </c>
      <c r="D116" s="2">
        <f>Data!E116</f>
        <v>119</v>
      </c>
      <c r="E116" s="8">
        <f>Data!F116</f>
        <v>309.88</v>
      </c>
      <c r="F116">
        <f t="shared" si="5"/>
        <v>4116</v>
      </c>
      <c r="G116">
        <v>50</v>
      </c>
      <c r="H116">
        <f t="shared" si="6"/>
        <v>61.975999999999999</v>
      </c>
      <c r="I116">
        <f t="shared" si="7"/>
        <v>81</v>
      </c>
      <c r="J116">
        <f t="shared" si="8"/>
        <v>2030</v>
      </c>
      <c r="K116" t="str">
        <f t="shared" si="9"/>
        <v>Stock OK</v>
      </c>
    </row>
    <row r="117" spans="1:11" x14ac:dyDescent="0.3">
      <c r="A117" t="str">
        <f>Data!A117</f>
        <v>ELE0116</v>
      </c>
      <c r="B117" t="str">
        <f>Data!B117</f>
        <v>Electronics Item 116</v>
      </c>
      <c r="C117" s="2">
        <f>Data!D117</f>
        <v>233</v>
      </c>
      <c r="D117" s="2">
        <f>Data!E117</f>
        <v>118</v>
      </c>
      <c r="E117" s="8">
        <f>Data!F117</f>
        <v>164.54</v>
      </c>
      <c r="F117">
        <f t="shared" si="5"/>
        <v>2796</v>
      </c>
      <c r="G117">
        <v>50</v>
      </c>
      <c r="H117">
        <f t="shared" si="6"/>
        <v>32.908000000000001</v>
      </c>
      <c r="I117">
        <f t="shared" si="7"/>
        <v>92</v>
      </c>
      <c r="J117">
        <f t="shared" si="8"/>
        <v>1379</v>
      </c>
      <c r="K117" t="str">
        <f t="shared" si="9"/>
        <v>Stock OK</v>
      </c>
    </row>
    <row r="118" spans="1:11" x14ac:dyDescent="0.3">
      <c r="A118" t="str">
        <f>Data!A118</f>
        <v>ELE0117</v>
      </c>
      <c r="B118" t="str">
        <f>Data!B118</f>
        <v>Electronics Item 117</v>
      </c>
      <c r="C118" s="2">
        <f>Data!D118</f>
        <v>134</v>
      </c>
      <c r="D118" s="2">
        <f>Data!E118</f>
        <v>168</v>
      </c>
      <c r="E118" s="8">
        <f>Data!F118</f>
        <v>287.08</v>
      </c>
      <c r="F118">
        <f t="shared" si="5"/>
        <v>1608</v>
      </c>
      <c r="G118">
        <v>50</v>
      </c>
      <c r="H118">
        <f t="shared" si="6"/>
        <v>57.415999999999997</v>
      </c>
      <c r="I118">
        <f t="shared" si="7"/>
        <v>53</v>
      </c>
      <c r="J118">
        <f t="shared" si="8"/>
        <v>793</v>
      </c>
      <c r="K118" t="str">
        <f t="shared" si="9"/>
        <v>Order Now</v>
      </c>
    </row>
    <row r="119" spans="1:11" x14ac:dyDescent="0.3">
      <c r="A119" t="str">
        <f>Data!A119</f>
        <v>ELE0118</v>
      </c>
      <c r="B119" t="str">
        <f>Data!B119</f>
        <v>Electronics Item 118</v>
      </c>
      <c r="C119" s="2">
        <f>Data!D119</f>
        <v>263</v>
      </c>
      <c r="D119" s="2">
        <f>Data!E119</f>
        <v>133</v>
      </c>
      <c r="E119" s="8">
        <f>Data!F119</f>
        <v>95.01</v>
      </c>
      <c r="F119">
        <f t="shared" si="5"/>
        <v>3156</v>
      </c>
      <c r="G119">
        <v>50</v>
      </c>
      <c r="H119">
        <f t="shared" si="6"/>
        <v>19.002000000000002</v>
      </c>
      <c r="I119">
        <f t="shared" si="7"/>
        <v>129</v>
      </c>
      <c r="J119">
        <f t="shared" si="8"/>
        <v>1556</v>
      </c>
      <c r="K119" t="str">
        <f t="shared" si="9"/>
        <v>Stock OK</v>
      </c>
    </row>
    <row r="120" spans="1:11" x14ac:dyDescent="0.3">
      <c r="A120" t="str">
        <f>Data!A120</f>
        <v>ELE0119</v>
      </c>
      <c r="B120" t="str">
        <f>Data!B120</f>
        <v>Electronics Item 119</v>
      </c>
      <c r="C120" s="2">
        <f>Data!D120</f>
        <v>153</v>
      </c>
      <c r="D120" s="2">
        <f>Data!E120</f>
        <v>120</v>
      </c>
      <c r="E120" s="8">
        <f>Data!F120</f>
        <v>280.12</v>
      </c>
      <c r="F120">
        <f t="shared" si="5"/>
        <v>1836</v>
      </c>
      <c r="G120">
        <v>50</v>
      </c>
      <c r="H120">
        <f t="shared" si="6"/>
        <v>56.024000000000001</v>
      </c>
      <c r="I120">
        <f t="shared" si="7"/>
        <v>57</v>
      </c>
      <c r="J120">
        <f t="shared" si="8"/>
        <v>905</v>
      </c>
      <c r="K120" t="str">
        <f t="shared" si="9"/>
        <v>Stock OK</v>
      </c>
    </row>
    <row r="121" spans="1:11" x14ac:dyDescent="0.3">
      <c r="A121" t="str">
        <f>Data!A121</f>
        <v>ELE0120</v>
      </c>
      <c r="B121" t="str">
        <f>Data!B121</f>
        <v>Electronics Item 120</v>
      </c>
      <c r="C121" s="2">
        <f>Data!D121</f>
        <v>378</v>
      </c>
      <c r="D121" s="2">
        <f>Data!E121</f>
        <v>154</v>
      </c>
      <c r="E121" s="8">
        <f>Data!F121</f>
        <v>246.85</v>
      </c>
      <c r="F121">
        <f t="shared" si="5"/>
        <v>4536</v>
      </c>
      <c r="G121">
        <v>50</v>
      </c>
      <c r="H121">
        <f t="shared" si="6"/>
        <v>49.370000000000005</v>
      </c>
      <c r="I121">
        <f t="shared" si="7"/>
        <v>96</v>
      </c>
      <c r="J121">
        <f t="shared" si="8"/>
        <v>2237</v>
      </c>
      <c r="K121" t="str">
        <f t="shared" si="9"/>
        <v>Stock OK</v>
      </c>
    </row>
    <row r="122" spans="1:11" x14ac:dyDescent="0.3">
      <c r="A122" t="str">
        <f>Data!A122</f>
        <v>ELE0121</v>
      </c>
      <c r="B122" t="str">
        <f>Data!B122</f>
        <v>Electronics Item 121</v>
      </c>
      <c r="C122" s="2">
        <f>Data!D122</f>
        <v>340</v>
      </c>
      <c r="D122" s="2">
        <f>Data!E122</f>
        <v>175</v>
      </c>
      <c r="E122" s="8">
        <f>Data!F122</f>
        <v>226.85</v>
      </c>
      <c r="F122">
        <f t="shared" si="5"/>
        <v>4080</v>
      </c>
      <c r="G122">
        <v>50</v>
      </c>
      <c r="H122">
        <f t="shared" si="6"/>
        <v>45.370000000000005</v>
      </c>
      <c r="I122">
        <f t="shared" si="7"/>
        <v>95</v>
      </c>
      <c r="J122">
        <f t="shared" si="8"/>
        <v>2012</v>
      </c>
      <c r="K122" t="str">
        <f t="shared" si="9"/>
        <v>Stock OK</v>
      </c>
    </row>
    <row r="123" spans="1:11" x14ac:dyDescent="0.3">
      <c r="A123" t="str">
        <f>Data!A123</f>
        <v>ELE0122</v>
      </c>
      <c r="B123" t="str">
        <f>Data!B123</f>
        <v>Electronics Item 122</v>
      </c>
      <c r="C123" s="2">
        <f>Data!D123</f>
        <v>217</v>
      </c>
      <c r="D123" s="2">
        <f>Data!E123</f>
        <v>112</v>
      </c>
      <c r="E123" s="8">
        <f>Data!F123</f>
        <v>156.57</v>
      </c>
      <c r="F123">
        <f t="shared" si="5"/>
        <v>2604</v>
      </c>
      <c r="G123">
        <v>50</v>
      </c>
      <c r="H123">
        <f t="shared" si="6"/>
        <v>31.314</v>
      </c>
      <c r="I123">
        <f t="shared" si="7"/>
        <v>91</v>
      </c>
      <c r="J123">
        <f t="shared" si="8"/>
        <v>1284</v>
      </c>
      <c r="K123" t="str">
        <f t="shared" si="9"/>
        <v>Stock OK</v>
      </c>
    </row>
    <row r="124" spans="1:11" x14ac:dyDescent="0.3">
      <c r="A124" t="str">
        <f>Data!A124</f>
        <v>ELE0123</v>
      </c>
      <c r="B124" t="str">
        <f>Data!B124</f>
        <v>Electronics Item 123</v>
      </c>
      <c r="C124" s="2">
        <f>Data!D124</f>
        <v>281</v>
      </c>
      <c r="D124" s="2">
        <f>Data!E124</f>
        <v>138</v>
      </c>
      <c r="E124" s="8">
        <f>Data!F124</f>
        <v>215.62</v>
      </c>
      <c r="F124">
        <f t="shared" si="5"/>
        <v>3372</v>
      </c>
      <c r="G124">
        <v>50</v>
      </c>
      <c r="H124">
        <f t="shared" si="6"/>
        <v>43.124000000000002</v>
      </c>
      <c r="I124">
        <f t="shared" si="7"/>
        <v>88</v>
      </c>
      <c r="J124">
        <f t="shared" si="8"/>
        <v>1663</v>
      </c>
      <c r="K124" t="str">
        <f t="shared" si="9"/>
        <v>Stock OK</v>
      </c>
    </row>
    <row r="125" spans="1:11" x14ac:dyDescent="0.3">
      <c r="A125" t="str">
        <f>Data!A125</f>
        <v>ELE0124</v>
      </c>
      <c r="B125" t="str">
        <f>Data!B125</f>
        <v>Electronics Item 124</v>
      </c>
      <c r="C125" s="2">
        <f>Data!D125</f>
        <v>369</v>
      </c>
      <c r="D125" s="2">
        <f>Data!E125</f>
        <v>166</v>
      </c>
      <c r="E125" s="8">
        <f>Data!F125</f>
        <v>139.1</v>
      </c>
      <c r="F125">
        <f t="shared" si="5"/>
        <v>4428</v>
      </c>
      <c r="G125">
        <v>50</v>
      </c>
      <c r="H125">
        <f t="shared" si="6"/>
        <v>27.82</v>
      </c>
      <c r="I125">
        <f t="shared" si="7"/>
        <v>126</v>
      </c>
      <c r="J125">
        <f t="shared" si="8"/>
        <v>2184</v>
      </c>
      <c r="K125" t="str">
        <f t="shared" si="9"/>
        <v>Stock OK</v>
      </c>
    </row>
    <row r="126" spans="1:11" x14ac:dyDescent="0.3">
      <c r="A126" t="str">
        <f>Data!A126</f>
        <v>ELE0125</v>
      </c>
      <c r="B126" t="str">
        <f>Data!B126</f>
        <v>Electronics Item 125</v>
      </c>
      <c r="C126" s="2">
        <f>Data!D126</f>
        <v>108</v>
      </c>
      <c r="D126" s="2">
        <f>Data!E126</f>
        <v>130</v>
      </c>
      <c r="E126" s="8">
        <f>Data!F126</f>
        <v>64.180000000000007</v>
      </c>
      <c r="F126">
        <f t="shared" si="5"/>
        <v>1296</v>
      </c>
      <c r="G126">
        <v>50</v>
      </c>
      <c r="H126">
        <f t="shared" si="6"/>
        <v>12.836000000000002</v>
      </c>
      <c r="I126">
        <f t="shared" si="7"/>
        <v>100</v>
      </c>
      <c r="J126">
        <f t="shared" si="8"/>
        <v>639</v>
      </c>
      <c r="K126" t="str">
        <f t="shared" si="9"/>
        <v>Order Now</v>
      </c>
    </row>
    <row r="127" spans="1:11" x14ac:dyDescent="0.3">
      <c r="A127" t="str">
        <f>Data!A127</f>
        <v>ELE0126</v>
      </c>
      <c r="B127" t="str">
        <f>Data!B127</f>
        <v>Electronics Item 126</v>
      </c>
      <c r="C127" s="2">
        <f>Data!D127</f>
        <v>120</v>
      </c>
      <c r="D127" s="2">
        <f>Data!E127</f>
        <v>173</v>
      </c>
      <c r="E127" s="8">
        <f>Data!F127</f>
        <v>141.87</v>
      </c>
      <c r="F127">
        <f t="shared" si="5"/>
        <v>1440</v>
      </c>
      <c r="G127">
        <v>50</v>
      </c>
      <c r="H127">
        <f t="shared" si="6"/>
        <v>28.374000000000002</v>
      </c>
      <c r="I127">
        <f t="shared" si="7"/>
        <v>71</v>
      </c>
      <c r="J127">
        <f t="shared" si="8"/>
        <v>710</v>
      </c>
      <c r="K127" t="str">
        <f t="shared" si="9"/>
        <v>Order Now</v>
      </c>
    </row>
    <row r="128" spans="1:11" x14ac:dyDescent="0.3">
      <c r="A128" t="str">
        <f>Data!A128</f>
        <v>ELE0127</v>
      </c>
      <c r="B128" t="str">
        <f>Data!B128</f>
        <v>Electronics Item 127</v>
      </c>
      <c r="C128" s="2">
        <f>Data!D128</f>
        <v>61</v>
      </c>
      <c r="D128" s="2">
        <f>Data!E128</f>
        <v>99</v>
      </c>
      <c r="E128" s="8">
        <f>Data!F128</f>
        <v>151.63999999999999</v>
      </c>
      <c r="F128">
        <f t="shared" si="5"/>
        <v>732</v>
      </c>
      <c r="G128">
        <v>50</v>
      </c>
      <c r="H128">
        <f t="shared" si="6"/>
        <v>30.327999999999999</v>
      </c>
      <c r="I128">
        <f t="shared" si="7"/>
        <v>49</v>
      </c>
      <c r="J128">
        <f t="shared" si="8"/>
        <v>361</v>
      </c>
      <c r="K128" t="str">
        <f t="shared" si="9"/>
        <v>Order Now</v>
      </c>
    </row>
    <row r="129" spans="1:11" x14ac:dyDescent="0.3">
      <c r="A129" t="str">
        <f>Data!A129</f>
        <v>ELE0128</v>
      </c>
      <c r="B129" t="str">
        <f>Data!B129</f>
        <v>Electronics Item 128</v>
      </c>
      <c r="C129" s="2">
        <f>Data!D129</f>
        <v>372</v>
      </c>
      <c r="D129" s="2">
        <f>Data!E129</f>
        <v>186</v>
      </c>
      <c r="E129" s="8">
        <f>Data!F129</f>
        <v>67.66</v>
      </c>
      <c r="F129">
        <f t="shared" si="5"/>
        <v>4464</v>
      </c>
      <c r="G129">
        <v>50</v>
      </c>
      <c r="H129">
        <f t="shared" si="6"/>
        <v>13.532</v>
      </c>
      <c r="I129">
        <f t="shared" si="7"/>
        <v>182</v>
      </c>
      <c r="J129">
        <f t="shared" si="8"/>
        <v>2201</v>
      </c>
      <c r="K129" t="str">
        <f t="shared" si="9"/>
        <v>Stock OK</v>
      </c>
    </row>
    <row r="130" spans="1:11" x14ac:dyDescent="0.3">
      <c r="A130" t="str">
        <f>Data!A130</f>
        <v>ELE0129</v>
      </c>
      <c r="B130" t="str">
        <f>Data!B130</f>
        <v>Electronics Item 129</v>
      </c>
      <c r="C130" s="2">
        <f>Data!D130</f>
        <v>367</v>
      </c>
      <c r="D130" s="2">
        <f>Data!E130</f>
        <v>82</v>
      </c>
      <c r="E130" s="8">
        <f>Data!F130</f>
        <v>320.75</v>
      </c>
      <c r="F130">
        <f t="shared" si="5"/>
        <v>4404</v>
      </c>
      <c r="G130">
        <v>50</v>
      </c>
      <c r="H130">
        <f t="shared" si="6"/>
        <v>64.150000000000006</v>
      </c>
      <c r="I130">
        <f t="shared" si="7"/>
        <v>83</v>
      </c>
      <c r="J130">
        <f t="shared" si="8"/>
        <v>2172</v>
      </c>
      <c r="K130" t="str">
        <f t="shared" si="9"/>
        <v>Stock OK</v>
      </c>
    </row>
    <row r="131" spans="1:11" x14ac:dyDescent="0.3">
      <c r="A131" t="str">
        <f>Data!A131</f>
        <v>ELE0130</v>
      </c>
      <c r="B131" t="str">
        <f>Data!B131</f>
        <v>Electronics Item 130</v>
      </c>
      <c r="C131" s="2">
        <f>Data!D131</f>
        <v>303</v>
      </c>
      <c r="D131" s="2">
        <f>Data!E131</f>
        <v>122</v>
      </c>
      <c r="E131" s="8">
        <f>Data!F131</f>
        <v>237.35</v>
      </c>
      <c r="F131">
        <f t="shared" ref="F131:F194" si="10">C131*12</f>
        <v>3636</v>
      </c>
      <c r="G131">
        <v>50</v>
      </c>
      <c r="H131">
        <f t="shared" ref="H131:H194" si="11">E131*20%</f>
        <v>47.47</v>
      </c>
      <c r="I131">
        <f t="shared" ref="I131:I194" si="12">ROUND(SQRT((2*F131*G131)/H131),0)</f>
        <v>88</v>
      </c>
      <c r="J131">
        <f t="shared" ref="J131:J194" si="13">ROUND((F131/365)*180,0)</f>
        <v>1793</v>
      </c>
      <c r="K131" t="str">
        <f t="shared" ref="K131:K194" si="14">IF(C131&lt;=D131,"Order Now","Stock OK")</f>
        <v>Stock OK</v>
      </c>
    </row>
    <row r="132" spans="1:11" x14ac:dyDescent="0.3">
      <c r="A132" t="str">
        <f>Data!A132</f>
        <v>ELE0131</v>
      </c>
      <c r="B132" t="str">
        <f>Data!B132</f>
        <v>Electronics Item 131</v>
      </c>
      <c r="C132" s="2">
        <f>Data!D132</f>
        <v>139</v>
      </c>
      <c r="D132" s="2">
        <f>Data!E132</f>
        <v>172</v>
      </c>
      <c r="E132" s="8">
        <f>Data!F132</f>
        <v>61.47</v>
      </c>
      <c r="F132">
        <f t="shared" si="10"/>
        <v>1668</v>
      </c>
      <c r="G132">
        <v>50</v>
      </c>
      <c r="H132">
        <f t="shared" si="11"/>
        <v>12.294</v>
      </c>
      <c r="I132">
        <f t="shared" si="12"/>
        <v>116</v>
      </c>
      <c r="J132">
        <f t="shared" si="13"/>
        <v>823</v>
      </c>
      <c r="K132" t="str">
        <f t="shared" si="14"/>
        <v>Order Now</v>
      </c>
    </row>
    <row r="133" spans="1:11" x14ac:dyDescent="0.3">
      <c r="A133" t="str">
        <f>Data!A133</f>
        <v>ELE0132</v>
      </c>
      <c r="B133" t="str">
        <f>Data!B133</f>
        <v>Electronics Item 132</v>
      </c>
      <c r="C133" s="2">
        <f>Data!D133</f>
        <v>305</v>
      </c>
      <c r="D133" s="2">
        <f>Data!E133</f>
        <v>63</v>
      </c>
      <c r="E133" s="8">
        <f>Data!F133</f>
        <v>80.099999999999994</v>
      </c>
      <c r="F133">
        <f t="shared" si="10"/>
        <v>3660</v>
      </c>
      <c r="G133">
        <v>50</v>
      </c>
      <c r="H133">
        <f t="shared" si="11"/>
        <v>16.02</v>
      </c>
      <c r="I133">
        <f t="shared" si="12"/>
        <v>151</v>
      </c>
      <c r="J133">
        <f t="shared" si="13"/>
        <v>1805</v>
      </c>
      <c r="K133" t="str">
        <f t="shared" si="14"/>
        <v>Stock OK</v>
      </c>
    </row>
    <row r="134" spans="1:11" x14ac:dyDescent="0.3">
      <c r="A134" t="str">
        <f>Data!A134</f>
        <v>ELE0133</v>
      </c>
      <c r="B134" t="str">
        <f>Data!B134</f>
        <v>Electronics Item 133</v>
      </c>
      <c r="C134" s="2">
        <f>Data!D134</f>
        <v>137</v>
      </c>
      <c r="D134" s="2">
        <f>Data!E134</f>
        <v>80</v>
      </c>
      <c r="E134" s="8">
        <f>Data!F134</f>
        <v>281.25</v>
      </c>
      <c r="F134">
        <f t="shared" si="10"/>
        <v>1644</v>
      </c>
      <c r="G134">
        <v>50</v>
      </c>
      <c r="H134">
        <f t="shared" si="11"/>
        <v>56.25</v>
      </c>
      <c r="I134">
        <f t="shared" si="12"/>
        <v>54</v>
      </c>
      <c r="J134">
        <f t="shared" si="13"/>
        <v>811</v>
      </c>
      <c r="K134" t="str">
        <f t="shared" si="14"/>
        <v>Stock OK</v>
      </c>
    </row>
    <row r="135" spans="1:11" x14ac:dyDescent="0.3">
      <c r="A135" t="str">
        <f>Data!A135</f>
        <v>ELE0134</v>
      </c>
      <c r="B135" t="str">
        <f>Data!B135</f>
        <v>Electronics Item 134</v>
      </c>
      <c r="C135" s="2">
        <f>Data!D135</f>
        <v>125</v>
      </c>
      <c r="D135" s="2">
        <f>Data!E135</f>
        <v>183</v>
      </c>
      <c r="E135" s="8">
        <f>Data!F135</f>
        <v>193.29</v>
      </c>
      <c r="F135">
        <f t="shared" si="10"/>
        <v>1500</v>
      </c>
      <c r="G135">
        <v>50</v>
      </c>
      <c r="H135">
        <f t="shared" si="11"/>
        <v>38.658000000000001</v>
      </c>
      <c r="I135">
        <f t="shared" si="12"/>
        <v>62</v>
      </c>
      <c r="J135">
        <f t="shared" si="13"/>
        <v>740</v>
      </c>
      <c r="K135" t="str">
        <f t="shared" si="14"/>
        <v>Order Now</v>
      </c>
    </row>
    <row r="136" spans="1:11" x14ac:dyDescent="0.3">
      <c r="A136" t="str">
        <f>Data!A136</f>
        <v>ELE0135</v>
      </c>
      <c r="B136" t="str">
        <f>Data!B136</f>
        <v>Electronics Item 135</v>
      </c>
      <c r="C136" s="2">
        <f>Data!D136</f>
        <v>229</v>
      </c>
      <c r="D136" s="2">
        <f>Data!E136</f>
        <v>128</v>
      </c>
      <c r="E136" s="8">
        <f>Data!F136</f>
        <v>286.47000000000003</v>
      </c>
      <c r="F136">
        <f t="shared" si="10"/>
        <v>2748</v>
      </c>
      <c r="G136">
        <v>50</v>
      </c>
      <c r="H136">
        <f t="shared" si="11"/>
        <v>57.294000000000011</v>
      </c>
      <c r="I136">
        <f t="shared" si="12"/>
        <v>69</v>
      </c>
      <c r="J136">
        <f t="shared" si="13"/>
        <v>1355</v>
      </c>
      <c r="K136" t="str">
        <f t="shared" si="14"/>
        <v>Stock OK</v>
      </c>
    </row>
    <row r="137" spans="1:11" x14ac:dyDescent="0.3">
      <c r="A137" t="str">
        <f>Data!A137</f>
        <v>ELE0136</v>
      </c>
      <c r="B137" t="str">
        <f>Data!B137</f>
        <v>Electronics Item 136</v>
      </c>
      <c r="C137" s="2">
        <f>Data!D137</f>
        <v>495</v>
      </c>
      <c r="D137" s="2">
        <f>Data!E137</f>
        <v>103</v>
      </c>
      <c r="E137" s="8">
        <f>Data!F137</f>
        <v>314.63</v>
      </c>
      <c r="F137">
        <f t="shared" si="10"/>
        <v>5940</v>
      </c>
      <c r="G137">
        <v>50</v>
      </c>
      <c r="H137">
        <f t="shared" si="11"/>
        <v>62.926000000000002</v>
      </c>
      <c r="I137">
        <f t="shared" si="12"/>
        <v>97</v>
      </c>
      <c r="J137">
        <f t="shared" si="13"/>
        <v>2929</v>
      </c>
      <c r="K137" t="str">
        <f t="shared" si="14"/>
        <v>Stock OK</v>
      </c>
    </row>
    <row r="138" spans="1:11" x14ac:dyDescent="0.3">
      <c r="A138" t="str">
        <f>Data!A138</f>
        <v>ELE0137</v>
      </c>
      <c r="B138" t="str">
        <f>Data!B138</f>
        <v>Electronics Item 137</v>
      </c>
      <c r="C138" s="2">
        <f>Data!D138</f>
        <v>132</v>
      </c>
      <c r="D138" s="2">
        <f>Data!E138</f>
        <v>94</v>
      </c>
      <c r="E138" s="8">
        <f>Data!F138</f>
        <v>278.24</v>
      </c>
      <c r="F138">
        <f t="shared" si="10"/>
        <v>1584</v>
      </c>
      <c r="G138">
        <v>50</v>
      </c>
      <c r="H138">
        <f t="shared" si="11"/>
        <v>55.648000000000003</v>
      </c>
      <c r="I138">
        <f t="shared" si="12"/>
        <v>53</v>
      </c>
      <c r="J138">
        <f t="shared" si="13"/>
        <v>781</v>
      </c>
      <c r="K138" t="str">
        <f t="shared" si="14"/>
        <v>Stock OK</v>
      </c>
    </row>
    <row r="139" spans="1:11" x14ac:dyDescent="0.3">
      <c r="A139" t="str">
        <f>Data!A139</f>
        <v>ELE0138</v>
      </c>
      <c r="B139" t="str">
        <f>Data!B139</f>
        <v>Electronics Item 138</v>
      </c>
      <c r="C139" s="2">
        <f>Data!D139</f>
        <v>362</v>
      </c>
      <c r="D139" s="2">
        <f>Data!E139</f>
        <v>170</v>
      </c>
      <c r="E139" s="8">
        <f>Data!F139</f>
        <v>149.16999999999999</v>
      </c>
      <c r="F139">
        <f t="shared" si="10"/>
        <v>4344</v>
      </c>
      <c r="G139">
        <v>50</v>
      </c>
      <c r="H139">
        <f t="shared" si="11"/>
        <v>29.834</v>
      </c>
      <c r="I139">
        <f t="shared" si="12"/>
        <v>121</v>
      </c>
      <c r="J139">
        <f t="shared" si="13"/>
        <v>2142</v>
      </c>
      <c r="K139" t="str">
        <f t="shared" si="14"/>
        <v>Stock OK</v>
      </c>
    </row>
    <row r="140" spans="1:11" x14ac:dyDescent="0.3">
      <c r="A140" t="str">
        <f>Data!A140</f>
        <v>ELE0139</v>
      </c>
      <c r="B140" t="str">
        <f>Data!B140</f>
        <v>Electronics Item 139</v>
      </c>
      <c r="C140" s="2">
        <f>Data!D140</f>
        <v>369</v>
      </c>
      <c r="D140" s="2">
        <f>Data!E140</f>
        <v>166</v>
      </c>
      <c r="E140" s="8">
        <f>Data!F140</f>
        <v>40.229999999999997</v>
      </c>
      <c r="F140">
        <f t="shared" si="10"/>
        <v>4428</v>
      </c>
      <c r="G140">
        <v>50</v>
      </c>
      <c r="H140">
        <f t="shared" si="11"/>
        <v>8.0459999999999994</v>
      </c>
      <c r="I140">
        <f t="shared" si="12"/>
        <v>235</v>
      </c>
      <c r="J140">
        <f t="shared" si="13"/>
        <v>2184</v>
      </c>
      <c r="K140" t="str">
        <f t="shared" si="14"/>
        <v>Stock OK</v>
      </c>
    </row>
    <row r="141" spans="1:11" x14ac:dyDescent="0.3">
      <c r="A141" t="str">
        <f>Data!A141</f>
        <v>ELE0140</v>
      </c>
      <c r="B141" t="str">
        <f>Data!B141</f>
        <v>Electronics Item 140</v>
      </c>
      <c r="C141" s="2">
        <f>Data!D141</f>
        <v>348</v>
      </c>
      <c r="D141" s="2">
        <f>Data!E141</f>
        <v>100</v>
      </c>
      <c r="E141" s="8">
        <f>Data!F141</f>
        <v>215.44</v>
      </c>
      <c r="F141">
        <f t="shared" si="10"/>
        <v>4176</v>
      </c>
      <c r="G141">
        <v>50</v>
      </c>
      <c r="H141">
        <f t="shared" si="11"/>
        <v>43.088000000000001</v>
      </c>
      <c r="I141">
        <f t="shared" si="12"/>
        <v>98</v>
      </c>
      <c r="J141">
        <f t="shared" si="13"/>
        <v>2059</v>
      </c>
      <c r="K141" t="str">
        <f t="shared" si="14"/>
        <v>Stock OK</v>
      </c>
    </row>
    <row r="142" spans="1:11" x14ac:dyDescent="0.3">
      <c r="A142" t="str">
        <f>Data!A142</f>
        <v>ELE0141</v>
      </c>
      <c r="B142" t="str">
        <f>Data!B142</f>
        <v>Electronics Item 141</v>
      </c>
      <c r="C142" s="2">
        <f>Data!D142</f>
        <v>475</v>
      </c>
      <c r="D142" s="2">
        <f>Data!E142</f>
        <v>118</v>
      </c>
      <c r="E142" s="8">
        <f>Data!F142</f>
        <v>414.18</v>
      </c>
      <c r="F142">
        <f t="shared" si="10"/>
        <v>5700</v>
      </c>
      <c r="G142">
        <v>50</v>
      </c>
      <c r="H142">
        <f t="shared" si="11"/>
        <v>82.836000000000013</v>
      </c>
      <c r="I142">
        <f t="shared" si="12"/>
        <v>83</v>
      </c>
      <c r="J142">
        <f t="shared" si="13"/>
        <v>2811</v>
      </c>
      <c r="K142" t="str">
        <f t="shared" si="14"/>
        <v>Stock OK</v>
      </c>
    </row>
    <row r="143" spans="1:11" x14ac:dyDescent="0.3">
      <c r="A143" t="str">
        <f>Data!A143</f>
        <v>ELE0142</v>
      </c>
      <c r="B143" t="str">
        <f>Data!B143</f>
        <v>Electronics Item 142</v>
      </c>
      <c r="C143" s="2">
        <f>Data!D143</f>
        <v>314</v>
      </c>
      <c r="D143" s="2">
        <f>Data!E143</f>
        <v>195</v>
      </c>
      <c r="E143" s="8">
        <f>Data!F143</f>
        <v>460.99</v>
      </c>
      <c r="F143">
        <f t="shared" si="10"/>
        <v>3768</v>
      </c>
      <c r="G143">
        <v>50</v>
      </c>
      <c r="H143">
        <f t="shared" si="11"/>
        <v>92.198000000000008</v>
      </c>
      <c r="I143">
        <f t="shared" si="12"/>
        <v>64</v>
      </c>
      <c r="J143">
        <f t="shared" si="13"/>
        <v>1858</v>
      </c>
      <c r="K143" t="str">
        <f t="shared" si="14"/>
        <v>Stock OK</v>
      </c>
    </row>
    <row r="144" spans="1:11" x14ac:dyDescent="0.3">
      <c r="A144" t="str">
        <f>Data!A144</f>
        <v>ELE0143</v>
      </c>
      <c r="B144" t="str">
        <f>Data!B144</f>
        <v>Electronics Item 143</v>
      </c>
      <c r="C144" s="2">
        <f>Data!D144</f>
        <v>165</v>
      </c>
      <c r="D144" s="2">
        <f>Data!E144</f>
        <v>153</v>
      </c>
      <c r="E144" s="8">
        <f>Data!F144</f>
        <v>471.62</v>
      </c>
      <c r="F144">
        <f t="shared" si="10"/>
        <v>1980</v>
      </c>
      <c r="G144">
        <v>50</v>
      </c>
      <c r="H144">
        <f t="shared" si="11"/>
        <v>94.324000000000012</v>
      </c>
      <c r="I144">
        <f t="shared" si="12"/>
        <v>46</v>
      </c>
      <c r="J144">
        <f t="shared" si="13"/>
        <v>976</v>
      </c>
      <c r="K144" t="str">
        <f t="shared" si="14"/>
        <v>Stock OK</v>
      </c>
    </row>
    <row r="145" spans="1:11" x14ac:dyDescent="0.3">
      <c r="A145" t="str">
        <f>Data!A145</f>
        <v>ELE0144</v>
      </c>
      <c r="B145" t="str">
        <f>Data!B145</f>
        <v>Electronics Item 144</v>
      </c>
      <c r="C145" s="2">
        <f>Data!D145</f>
        <v>51</v>
      </c>
      <c r="D145" s="2">
        <f>Data!E145</f>
        <v>60</v>
      </c>
      <c r="E145" s="8">
        <f>Data!F145</f>
        <v>445.26</v>
      </c>
      <c r="F145">
        <f t="shared" si="10"/>
        <v>612</v>
      </c>
      <c r="G145">
        <v>50</v>
      </c>
      <c r="H145">
        <f t="shared" si="11"/>
        <v>89.052000000000007</v>
      </c>
      <c r="I145">
        <f t="shared" si="12"/>
        <v>26</v>
      </c>
      <c r="J145">
        <f t="shared" si="13"/>
        <v>302</v>
      </c>
      <c r="K145" t="str">
        <f t="shared" si="14"/>
        <v>Order Now</v>
      </c>
    </row>
    <row r="146" spans="1:11" x14ac:dyDescent="0.3">
      <c r="A146" t="str">
        <f>Data!A146</f>
        <v>ELE0145</v>
      </c>
      <c r="B146" t="str">
        <f>Data!B146</f>
        <v>Electronics Item 145</v>
      </c>
      <c r="C146" s="2">
        <f>Data!D146</f>
        <v>23</v>
      </c>
      <c r="D146" s="2">
        <f>Data!E146</f>
        <v>73</v>
      </c>
      <c r="E146" s="8">
        <f>Data!F146</f>
        <v>118.32</v>
      </c>
      <c r="F146">
        <f t="shared" si="10"/>
        <v>276</v>
      </c>
      <c r="G146">
        <v>50</v>
      </c>
      <c r="H146">
        <f t="shared" si="11"/>
        <v>23.664000000000001</v>
      </c>
      <c r="I146">
        <f t="shared" si="12"/>
        <v>34</v>
      </c>
      <c r="J146">
        <f t="shared" si="13"/>
        <v>136</v>
      </c>
      <c r="K146" t="str">
        <f t="shared" si="14"/>
        <v>Order Now</v>
      </c>
    </row>
    <row r="147" spans="1:11" x14ac:dyDescent="0.3">
      <c r="A147" t="str">
        <f>Data!A147</f>
        <v>ELE0146</v>
      </c>
      <c r="B147" t="str">
        <f>Data!B147</f>
        <v>Electronics Item 146</v>
      </c>
      <c r="C147" s="2">
        <f>Data!D147</f>
        <v>401</v>
      </c>
      <c r="D147" s="2">
        <f>Data!E147</f>
        <v>118</v>
      </c>
      <c r="E147" s="8">
        <f>Data!F147</f>
        <v>290.24</v>
      </c>
      <c r="F147">
        <f t="shared" si="10"/>
        <v>4812</v>
      </c>
      <c r="G147">
        <v>50</v>
      </c>
      <c r="H147">
        <f t="shared" si="11"/>
        <v>58.048000000000002</v>
      </c>
      <c r="I147">
        <f t="shared" si="12"/>
        <v>91</v>
      </c>
      <c r="J147">
        <f t="shared" si="13"/>
        <v>2373</v>
      </c>
      <c r="K147" t="str">
        <f t="shared" si="14"/>
        <v>Stock OK</v>
      </c>
    </row>
    <row r="148" spans="1:11" x14ac:dyDescent="0.3">
      <c r="A148" t="str">
        <f>Data!A148</f>
        <v>ELE0147</v>
      </c>
      <c r="B148" t="str">
        <f>Data!B148</f>
        <v>Electronics Item 147</v>
      </c>
      <c r="C148" s="2">
        <f>Data!D148</f>
        <v>343</v>
      </c>
      <c r="D148" s="2">
        <f>Data!E148</f>
        <v>163</v>
      </c>
      <c r="E148" s="8">
        <f>Data!F148</f>
        <v>458.46</v>
      </c>
      <c r="F148">
        <f t="shared" si="10"/>
        <v>4116</v>
      </c>
      <c r="G148">
        <v>50</v>
      </c>
      <c r="H148">
        <f t="shared" si="11"/>
        <v>91.692000000000007</v>
      </c>
      <c r="I148">
        <f t="shared" si="12"/>
        <v>67</v>
      </c>
      <c r="J148">
        <f t="shared" si="13"/>
        <v>2030</v>
      </c>
      <c r="K148" t="str">
        <f t="shared" si="14"/>
        <v>Stock OK</v>
      </c>
    </row>
    <row r="149" spans="1:11" x14ac:dyDescent="0.3">
      <c r="A149" t="str">
        <f>Data!A149</f>
        <v>ELE0148</v>
      </c>
      <c r="B149" t="str">
        <f>Data!B149</f>
        <v>Electronics Item 148</v>
      </c>
      <c r="C149" s="2">
        <f>Data!D149</f>
        <v>426</v>
      </c>
      <c r="D149" s="2">
        <f>Data!E149</f>
        <v>175</v>
      </c>
      <c r="E149" s="8">
        <f>Data!F149</f>
        <v>484.68</v>
      </c>
      <c r="F149">
        <f t="shared" si="10"/>
        <v>5112</v>
      </c>
      <c r="G149">
        <v>50</v>
      </c>
      <c r="H149">
        <f t="shared" si="11"/>
        <v>96.936000000000007</v>
      </c>
      <c r="I149">
        <f t="shared" si="12"/>
        <v>73</v>
      </c>
      <c r="J149">
        <f t="shared" si="13"/>
        <v>2521</v>
      </c>
      <c r="K149" t="str">
        <f t="shared" si="14"/>
        <v>Stock OK</v>
      </c>
    </row>
    <row r="150" spans="1:11" x14ac:dyDescent="0.3">
      <c r="A150" t="str">
        <f>Data!A150</f>
        <v>ELE0149</v>
      </c>
      <c r="B150" t="str">
        <f>Data!B150</f>
        <v>Electronics Item 149</v>
      </c>
      <c r="C150" s="2">
        <f>Data!D150</f>
        <v>174</v>
      </c>
      <c r="D150" s="2">
        <f>Data!E150</f>
        <v>76</v>
      </c>
      <c r="E150" s="8">
        <f>Data!F150</f>
        <v>429.58</v>
      </c>
      <c r="F150">
        <f t="shared" si="10"/>
        <v>2088</v>
      </c>
      <c r="G150">
        <v>50</v>
      </c>
      <c r="H150">
        <f t="shared" si="11"/>
        <v>85.915999999999997</v>
      </c>
      <c r="I150">
        <f t="shared" si="12"/>
        <v>49</v>
      </c>
      <c r="J150">
        <f t="shared" si="13"/>
        <v>1030</v>
      </c>
      <c r="K150" t="str">
        <f t="shared" si="14"/>
        <v>Stock OK</v>
      </c>
    </row>
    <row r="151" spans="1:11" x14ac:dyDescent="0.3">
      <c r="A151" t="str">
        <f>Data!A151</f>
        <v>ELE0150</v>
      </c>
      <c r="B151" t="str">
        <f>Data!B151</f>
        <v>Electronics Item 150</v>
      </c>
      <c r="C151" s="2">
        <f>Data!D151</f>
        <v>157</v>
      </c>
      <c r="D151" s="2">
        <f>Data!E151</f>
        <v>152</v>
      </c>
      <c r="E151" s="8">
        <f>Data!F151</f>
        <v>407.72</v>
      </c>
      <c r="F151">
        <f t="shared" si="10"/>
        <v>1884</v>
      </c>
      <c r="G151">
        <v>50</v>
      </c>
      <c r="H151">
        <f t="shared" si="11"/>
        <v>81.544000000000011</v>
      </c>
      <c r="I151">
        <f t="shared" si="12"/>
        <v>48</v>
      </c>
      <c r="J151">
        <f t="shared" si="13"/>
        <v>929</v>
      </c>
      <c r="K151" t="str">
        <f t="shared" si="14"/>
        <v>Stock OK</v>
      </c>
    </row>
    <row r="152" spans="1:11" x14ac:dyDescent="0.3">
      <c r="A152" t="str">
        <f>Data!A152</f>
        <v>ELE0151</v>
      </c>
      <c r="B152" t="str">
        <f>Data!B152</f>
        <v>Electronics Item 151</v>
      </c>
      <c r="C152" s="2">
        <f>Data!D152</f>
        <v>171</v>
      </c>
      <c r="D152" s="2">
        <f>Data!E152</f>
        <v>114</v>
      </c>
      <c r="E152" s="8">
        <f>Data!F152</f>
        <v>165.02</v>
      </c>
      <c r="F152">
        <f t="shared" si="10"/>
        <v>2052</v>
      </c>
      <c r="G152">
        <v>50</v>
      </c>
      <c r="H152">
        <f t="shared" si="11"/>
        <v>33.004000000000005</v>
      </c>
      <c r="I152">
        <f t="shared" si="12"/>
        <v>79</v>
      </c>
      <c r="J152">
        <f t="shared" si="13"/>
        <v>1012</v>
      </c>
      <c r="K152" t="str">
        <f t="shared" si="14"/>
        <v>Stock OK</v>
      </c>
    </row>
    <row r="153" spans="1:11" x14ac:dyDescent="0.3">
      <c r="A153" t="str">
        <f>Data!A153</f>
        <v>ELE0152</v>
      </c>
      <c r="B153" t="str">
        <f>Data!B153</f>
        <v>Electronics Item 152</v>
      </c>
      <c r="C153" s="2">
        <f>Data!D153</f>
        <v>346</v>
      </c>
      <c r="D153" s="2">
        <f>Data!E153</f>
        <v>188</v>
      </c>
      <c r="E153" s="8">
        <f>Data!F153</f>
        <v>233.68</v>
      </c>
      <c r="F153">
        <f t="shared" si="10"/>
        <v>4152</v>
      </c>
      <c r="G153">
        <v>50</v>
      </c>
      <c r="H153">
        <f t="shared" si="11"/>
        <v>46.736000000000004</v>
      </c>
      <c r="I153">
        <f t="shared" si="12"/>
        <v>94</v>
      </c>
      <c r="J153">
        <f t="shared" si="13"/>
        <v>2048</v>
      </c>
      <c r="K153" t="str">
        <f t="shared" si="14"/>
        <v>Stock OK</v>
      </c>
    </row>
    <row r="154" spans="1:11" x14ac:dyDescent="0.3">
      <c r="A154" t="str">
        <f>Data!A154</f>
        <v>ELE0153</v>
      </c>
      <c r="B154" t="str">
        <f>Data!B154</f>
        <v>Electronics Item 153</v>
      </c>
      <c r="C154" s="2">
        <f>Data!D154</f>
        <v>328</v>
      </c>
      <c r="D154" s="2">
        <f>Data!E154</f>
        <v>177</v>
      </c>
      <c r="E154" s="8">
        <f>Data!F154</f>
        <v>314.58</v>
      </c>
      <c r="F154">
        <f t="shared" si="10"/>
        <v>3936</v>
      </c>
      <c r="G154">
        <v>50</v>
      </c>
      <c r="H154">
        <f t="shared" si="11"/>
        <v>62.915999999999997</v>
      </c>
      <c r="I154">
        <f t="shared" si="12"/>
        <v>79</v>
      </c>
      <c r="J154">
        <f t="shared" si="13"/>
        <v>1941</v>
      </c>
      <c r="K154" t="str">
        <f t="shared" si="14"/>
        <v>Stock OK</v>
      </c>
    </row>
    <row r="155" spans="1:11" x14ac:dyDescent="0.3">
      <c r="A155" t="str">
        <f>Data!A155</f>
        <v>ELE0154</v>
      </c>
      <c r="B155" t="str">
        <f>Data!B155</f>
        <v>Electronics Item 154</v>
      </c>
      <c r="C155" s="2">
        <f>Data!D155</f>
        <v>291</v>
      </c>
      <c r="D155" s="2">
        <f>Data!E155</f>
        <v>83</v>
      </c>
      <c r="E155" s="8">
        <f>Data!F155</f>
        <v>464.2</v>
      </c>
      <c r="F155">
        <f t="shared" si="10"/>
        <v>3492</v>
      </c>
      <c r="G155">
        <v>50</v>
      </c>
      <c r="H155">
        <f t="shared" si="11"/>
        <v>92.84</v>
      </c>
      <c r="I155">
        <f t="shared" si="12"/>
        <v>61</v>
      </c>
      <c r="J155">
        <f t="shared" si="13"/>
        <v>1722</v>
      </c>
      <c r="K155" t="str">
        <f t="shared" si="14"/>
        <v>Stock OK</v>
      </c>
    </row>
    <row r="156" spans="1:11" x14ac:dyDescent="0.3">
      <c r="A156" t="str">
        <f>Data!A156</f>
        <v>ELE0155</v>
      </c>
      <c r="B156" t="str">
        <f>Data!B156</f>
        <v>Electronics Item 155</v>
      </c>
      <c r="C156" s="2">
        <f>Data!D156</f>
        <v>24</v>
      </c>
      <c r="D156" s="2">
        <f>Data!E156</f>
        <v>111</v>
      </c>
      <c r="E156" s="8">
        <f>Data!F156</f>
        <v>356.34</v>
      </c>
      <c r="F156">
        <f t="shared" si="10"/>
        <v>288</v>
      </c>
      <c r="G156">
        <v>50</v>
      </c>
      <c r="H156">
        <f t="shared" si="11"/>
        <v>71.268000000000001</v>
      </c>
      <c r="I156">
        <f t="shared" si="12"/>
        <v>20</v>
      </c>
      <c r="J156">
        <f t="shared" si="13"/>
        <v>142</v>
      </c>
      <c r="K156" t="str">
        <f t="shared" si="14"/>
        <v>Order Now</v>
      </c>
    </row>
    <row r="157" spans="1:11" x14ac:dyDescent="0.3">
      <c r="A157" t="str">
        <f>Data!A157</f>
        <v>ELE0156</v>
      </c>
      <c r="B157" t="str">
        <f>Data!B157</f>
        <v>Electronics Item 156</v>
      </c>
      <c r="C157" s="2">
        <f>Data!D157</f>
        <v>218</v>
      </c>
      <c r="D157" s="2">
        <f>Data!E157</f>
        <v>73</v>
      </c>
      <c r="E157" s="8">
        <f>Data!F157</f>
        <v>116.23</v>
      </c>
      <c r="F157">
        <f t="shared" si="10"/>
        <v>2616</v>
      </c>
      <c r="G157">
        <v>50</v>
      </c>
      <c r="H157">
        <f t="shared" si="11"/>
        <v>23.246000000000002</v>
      </c>
      <c r="I157">
        <f t="shared" si="12"/>
        <v>106</v>
      </c>
      <c r="J157">
        <f t="shared" si="13"/>
        <v>1290</v>
      </c>
      <c r="K157" t="str">
        <f t="shared" si="14"/>
        <v>Stock OK</v>
      </c>
    </row>
    <row r="158" spans="1:11" x14ac:dyDescent="0.3">
      <c r="A158" t="str">
        <f>Data!A158</f>
        <v>ELE0157</v>
      </c>
      <c r="B158" t="str">
        <f>Data!B158</f>
        <v>Electronics Item 157</v>
      </c>
      <c r="C158" s="2">
        <f>Data!D158</f>
        <v>341</v>
      </c>
      <c r="D158" s="2">
        <f>Data!E158</f>
        <v>89</v>
      </c>
      <c r="E158" s="8">
        <f>Data!F158</f>
        <v>251.7</v>
      </c>
      <c r="F158">
        <f t="shared" si="10"/>
        <v>4092</v>
      </c>
      <c r="G158">
        <v>50</v>
      </c>
      <c r="H158">
        <f t="shared" si="11"/>
        <v>50.34</v>
      </c>
      <c r="I158">
        <f t="shared" si="12"/>
        <v>90</v>
      </c>
      <c r="J158">
        <f t="shared" si="13"/>
        <v>2018</v>
      </c>
      <c r="K158" t="str">
        <f t="shared" si="14"/>
        <v>Stock OK</v>
      </c>
    </row>
    <row r="159" spans="1:11" x14ac:dyDescent="0.3">
      <c r="A159" t="str">
        <f>Data!A159</f>
        <v>ELE0158</v>
      </c>
      <c r="B159" t="str">
        <f>Data!B159</f>
        <v>Electronics Item 158</v>
      </c>
      <c r="C159" s="2">
        <f>Data!D159</f>
        <v>149</v>
      </c>
      <c r="D159" s="2">
        <f>Data!E159</f>
        <v>156</v>
      </c>
      <c r="E159" s="8">
        <f>Data!F159</f>
        <v>418.19</v>
      </c>
      <c r="F159">
        <f t="shared" si="10"/>
        <v>1788</v>
      </c>
      <c r="G159">
        <v>50</v>
      </c>
      <c r="H159">
        <f t="shared" si="11"/>
        <v>83.638000000000005</v>
      </c>
      <c r="I159">
        <f t="shared" si="12"/>
        <v>46</v>
      </c>
      <c r="J159">
        <f t="shared" si="13"/>
        <v>882</v>
      </c>
      <c r="K159" t="str">
        <f t="shared" si="14"/>
        <v>Order Now</v>
      </c>
    </row>
    <row r="160" spans="1:11" x14ac:dyDescent="0.3">
      <c r="A160" t="str">
        <f>Data!A160</f>
        <v>ELE0159</v>
      </c>
      <c r="B160" t="str">
        <f>Data!B160</f>
        <v>Electronics Item 159</v>
      </c>
      <c r="C160" s="2">
        <f>Data!D160</f>
        <v>84</v>
      </c>
      <c r="D160" s="2">
        <f>Data!E160</f>
        <v>148</v>
      </c>
      <c r="E160" s="8">
        <f>Data!F160</f>
        <v>99.35</v>
      </c>
      <c r="F160">
        <f t="shared" si="10"/>
        <v>1008</v>
      </c>
      <c r="G160">
        <v>50</v>
      </c>
      <c r="H160">
        <f t="shared" si="11"/>
        <v>19.87</v>
      </c>
      <c r="I160">
        <f t="shared" si="12"/>
        <v>71</v>
      </c>
      <c r="J160">
        <f t="shared" si="13"/>
        <v>497</v>
      </c>
      <c r="K160" t="str">
        <f t="shared" si="14"/>
        <v>Order Now</v>
      </c>
    </row>
    <row r="161" spans="1:11" x14ac:dyDescent="0.3">
      <c r="A161" t="str">
        <f>Data!A161</f>
        <v>ELE0160</v>
      </c>
      <c r="B161" t="str">
        <f>Data!B161</f>
        <v>Electronics Item 160</v>
      </c>
      <c r="C161" s="2">
        <f>Data!D161</f>
        <v>452</v>
      </c>
      <c r="D161" s="2">
        <f>Data!E161</f>
        <v>67</v>
      </c>
      <c r="E161" s="8">
        <f>Data!F161</f>
        <v>141.74</v>
      </c>
      <c r="F161">
        <f t="shared" si="10"/>
        <v>5424</v>
      </c>
      <c r="G161">
        <v>50</v>
      </c>
      <c r="H161">
        <f t="shared" si="11"/>
        <v>28.348000000000003</v>
      </c>
      <c r="I161">
        <f t="shared" si="12"/>
        <v>138</v>
      </c>
      <c r="J161">
        <f t="shared" si="13"/>
        <v>2675</v>
      </c>
      <c r="K161" t="str">
        <f t="shared" si="14"/>
        <v>Stock OK</v>
      </c>
    </row>
    <row r="162" spans="1:11" x14ac:dyDescent="0.3">
      <c r="A162" t="str">
        <f>Data!A162</f>
        <v>ELE0161</v>
      </c>
      <c r="B162" t="str">
        <f>Data!B162</f>
        <v>Electronics Item 161</v>
      </c>
      <c r="C162" s="2">
        <f>Data!D162</f>
        <v>146</v>
      </c>
      <c r="D162" s="2">
        <f>Data!E162</f>
        <v>50</v>
      </c>
      <c r="E162" s="8">
        <f>Data!F162</f>
        <v>145.01</v>
      </c>
      <c r="F162">
        <f t="shared" si="10"/>
        <v>1752</v>
      </c>
      <c r="G162">
        <v>50</v>
      </c>
      <c r="H162">
        <f t="shared" si="11"/>
        <v>29.001999999999999</v>
      </c>
      <c r="I162">
        <f t="shared" si="12"/>
        <v>78</v>
      </c>
      <c r="J162">
        <f t="shared" si="13"/>
        <v>864</v>
      </c>
      <c r="K162" t="str">
        <f t="shared" si="14"/>
        <v>Stock OK</v>
      </c>
    </row>
    <row r="163" spans="1:11" x14ac:dyDescent="0.3">
      <c r="A163" t="str">
        <f>Data!A163</f>
        <v>ELE0162</v>
      </c>
      <c r="B163" t="str">
        <f>Data!B163</f>
        <v>Electronics Item 162</v>
      </c>
      <c r="C163" s="2">
        <f>Data!D163</f>
        <v>260</v>
      </c>
      <c r="D163" s="2">
        <f>Data!E163</f>
        <v>88</v>
      </c>
      <c r="E163" s="8">
        <f>Data!F163</f>
        <v>226.04</v>
      </c>
      <c r="F163">
        <f t="shared" si="10"/>
        <v>3120</v>
      </c>
      <c r="G163">
        <v>50</v>
      </c>
      <c r="H163">
        <f t="shared" si="11"/>
        <v>45.207999999999998</v>
      </c>
      <c r="I163">
        <f t="shared" si="12"/>
        <v>83</v>
      </c>
      <c r="J163">
        <f t="shared" si="13"/>
        <v>1539</v>
      </c>
      <c r="K163" t="str">
        <f t="shared" si="14"/>
        <v>Stock OK</v>
      </c>
    </row>
    <row r="164" spans="1:11" x14ac:dyDescent="0.3">
      <c r="A164" t="str">
        <f>Data!A164</f>
        <v>ELE0163</v>
      </c>
      <c r="B164" t="str">
        <f>Data!B164</f>
        <v>Electronics Item 163</v>
      </c>
      <c r="C164" s="2">
        <f>Data!D164</f>
        <v>400</v>
      </c>
      <c r="D164" s="2">
        <f>Data!E164</f>
        <v>189</v>
      </c>
      <c r="E164" s="8">
        <f>Data!F164</f>
        <v>191.72</v>
      </c>
      <c r="F164">
        <f t="shared" si="10"/>
        <v>4800</v>
      </c>
      <c r="G164">
        <v>50</v>
      </c>
      <c r="H164">
        <f t="shared" si="11"/>
        <v>38.344000000000001</v>
      </c>
      <c r="I164">
        <f t="shared" si="12"/>
        <v>112</v>
      </c>
      <c r="J164">
        <f t="shared" si="13"/>
        <v>2367</v>
      </c>
      <c r="K164" t="str">
        <f t="shared" si="14"/>
        <v>Stock OK</v>
      </c>
    </row>
    <row r="165" spans="1:11" x14ac:dyDescent="0.3">
      <c r="A165" t="str">
        <f>Data!A165</f>
        <v>ELE0164</v>
      </c>
      <c r="B165" t="str">
        <f>Data!B165</f>
        <v>Electronics Item 164</v>
      </c>
      <c r="C165" s="2">
        <f>Data!D165</f>
        <v>132</v>
      </c>
      <c r="D165" s="2">
        <f>Data!E165</f>
        <v>196</v>
      </c>
      <c r="E165" s="8">
        <f>Data!F165</f>
        <v>194.57</v>
      </c>
      <c r="F165">
        <f t="shared" si="10"/>
        <v>1584</v>
      </c>
      <c r="G165">
        <v>50</v>
      </c>
      <c r="H165">
        <f t="shared" si="11"/>
        <v>38.914000000000001</v>
      </c>
      <c r="I165">
        <f t="shared" si="12"/>
        <v>64</v>
      </c>
      <c r="J165">
        <f t="shared" si="13"/>
        <v>781</v>
      </c>
      <c r="K165" t="str">
        <f t="shared" si="14"/>
        <v>Order Now</v>
      </c>
    </row>
    <row r="166" spans="1:11" x14ac:dyDescent="0.3">
      <c r="A166" t="str">
        <f>Data!A166</f>
        <v>ELE0165</v>
      </c>
      <c r="B166" t="str">
        <f>Data!B166</f>
        <v>Electronics Item 165</v>
      </c>
      <c r="C166" s="2">
        <f>Data!D166</f>
        <v>391</v>
      </c>
      <c r="D166" s="2">
        <f>Data!E166</f>
        <v>171</v>
      </c>
      <c r="E166" s="8">
        <f>Data!F166</f>
        <v>354.09</v>
      </c>
      <c r="F166">
        <f t="shared" si="10"/>
        <v>4692</v>
      </c>
      <c r="G166">
        <v>50</v>
      </c>
      <c r="H166">
        <f t="shared" si="11"/>
        <v>70.817999999999998</v>
      </c>
      <c r="I166">
        <f t="shared" si="12"/>
        <v>81</v>
      </c>
      <c r="J166">
        <f t="shared" si="13"/>
        <v>2314</v>
      </c>
      <c r="K166" t="str">
        <f t="shared" si="14"/>
        <v>Stock OK</v>
      </c>
    </row>
    <row r="167" spans="1:11" x14ac:dyDescent="0.3">
      <c r="A167" t="str">
        <f>Data!A167</f>
        <v>ELE0166</v>
      </c>
      <c r="B167" t="str">
        <f>Data!B167</f>
        <v>Electronics Item 166</v>
      </c>
      <c r="C167" s="2">
        <f>Data!D167</f>
        <v>415</v>
      </c>
      <c r="D167" s="2">
        <f>Data!E167</f>
        <v>88</v>
      </c>
      <c r="E167" s="8">
        <f>Data!F167</f>
        <v>250.19</v>
      </c>
      <c r="F167">
        <f t="shared" si="10"/>
        <v>4980</v>
      </c>
      <c r="G167">
        <v>50</v>
      </c>
      <c r="H167">
        <f t="shared" si="11"/>
        <v>50.038000000000004</v>
      </c>
      <c r="I167">
        <f t="shared" si="12"/>
        <v>100</v>
      </c>
      <c r="J167">
        <f t="shared" si="13"/>
        <v>2456</v>
      </c>
      <c r="K167" t="str">
        <f t="shared" si="14"/>
        <v>Stock OK</v>
      </c>
    </row>
    <row r="168" spans="1:11" x14ac:dyDescent="0.3">
      <c r="A168" t="str">
        <f>Data!A168</f>
        <v>ELE0167</v>
      </c>
      <c r="B168" t="str">
        <f>Data!B168</f>
        <v>Electronics Item 167</v>
      </c>
      <c r="C168" s="2">
        <f>Data!D168</f>
        <v>179</v>
      </c>
      <c r="D168" s="2">
        <f>Data!E168</f>
        <v>75</v>
      </c>
      <c r="E168" s="8">
        <f>Data!F168</f>
        <v>437.72</v>
      </c>
      <c r="F168">
        <f t="shared" si="10"/>
        <v>2148</v>
      </c>
      <c r="G168">
        <v>50</v>
      </c>
      <c r="H168">
        <f t="shared" si="11"/>
        <v>87.544000000000011</v>
      </c>
      <c r="I168">
        <f t="shared" si="12"/>
        <v>50</v>
      </c>
      <c r="J168">
        <f t="shared" si="13"/>
        <v>1059</v>
      </c>
      <c r="K168" t="str">
        <f t="shared" si="14"/>
        <v>Stock OK</v>
      </c>
    </row>
    <row r="169" spans="1:11" x14ac:dyDescent="0.3">
      <c r="A169" t="str">
        <f>Data!A169</f>
        <v>ELE0168</v>
      </c>
      <c r="B169" t="str">
        <f>Data!B169</f>
        <v>Electronics Item 168</v>
      </c>
      <c r="C169" s="2">
        <f>Data!D169</f>
        <v>17</v>
      </c>
      <c r="D169" s="2">
        <f>Data!E169</f>
        <v>86</v>
      </c>
      <c r="E169" s="8">
        <f>Data!F169</f>
        <v>207.94</v>
      </c>
      <c r="F169">
        <f t="shared" si="10"/>
        <v>204</v>
      </c>
      <c r="G169">
        <v>50</v>
      </c>
      <c r="H169">
        <f t="shared" si="11"/>
        <v>41.588000000000001</v>
      </c>
      <c r="I169">
        <f t="shared" si="12"/>
        <v>22</v>
      </c>
      <c r="J169">
        <f t="shared" si="13"/>
        <v>101</v>
      </c>
      <c r="K169" t="str">
        <f t="shared" si="14"/>
        <v>Order Now</v>
      </c>
    </row>
    <row r="170" spans="1:11" x14ac:dyDescent="0.3">
      <c r="A170" t="str">
        <f>Data!A170</f>
        <v>ELE0169</v>
      </c>
      <c r="B170" t="str">
        <f>Data!B170</f>
        <v>Electronics Item 169</v>
      </c>
      <c r="C170" s="2">
        <f>Data!D170</f>
        <v>410</v>
      </c>
      <c r="D170" s="2">
        <f>Data!E170</f>
        <v>117</v>
      </c>
      <c r="E170" s="8">
        <f>Data!F170</f>
        <v>172.59</v>
      </c>
      <c r="F170">
        <f t="shared" si="10"/>
        <v>4920</v>
      </c>
      <c r="G170">
        <v>50</v>
      </c>
      <c r="H170">
        <f t="shared" si="11"/>
        <v>34.518000000000001</v>
      </c>
      <c r="I170">
        <f t="shared" si="12"/>
        <v>119</v>
      </c>
      <c r="J170">
        <f t="shared" si="13"/>
        <v>2426</v>
      </c>
      <c r="K170" t="str">
        <f t="shared" si="14"/>
        <v>Stock OK</v>
      </c>
    </row>
    <row r="171" spans="1:11" x14ac:dyDescent="0.3">
      <c r="A171" t="str">
        <f>Data!A171</f>
        <v>ELE0170</v>
      </c>
      <c r="B171" t="str">
        <f>Data!B171</f>
        <v>Electronics Item 170</v>
      </c>
      <c r="C171" s="2">
        <f>Data!D171</f>
        <v>446</v>
      </c>
      <c r="D171" s="2">
        <f>Data!E171</f>
        <v>134</v>
      </c>
      <c r="E171" s="8">
        <f>Data!F171</f>
        <v>426.91</v>
      </c>
      <c r="F171">
        <f t="shared" si="10"/>
        <v>5352</v>
      </c>
      <c r="G171">
        <v>50</v>
      </c>
      <c r="H171">
        <f t="shared" si="11"/>
        <v>85.382000000000005</v>
      </c>
      <c r="I171">
        <f t="shared" si="12"/>
        <v>79</v>
      </c>
      <c r="J171">
        <f t="shared" si="13"/>
        <v>2639</v>
      </c>
      <c r="K171" t="str">
        <f t="shared" si="14"/>
        <v>Stock OK</v>
      </c>
    </row>
    <row r="172" spans="1:11" x14ac:dyDescent="0.3">
      <c r="A172" t="str">
        <f>Data!A172</f>
        <v>ELE0171</v>
      </c>
      <c r="B172" t="str">
        <f>Data!B172</f>
        <v>Electronics Item 171</v>
      </c>
      <c r="C172" s="2">
        <f>Data!D172</f>
        <v>330</v>
      </c>
      <c r="D172" s="2">
        <f>Data!E172</f>
        <v>174</v>
      </c>
      <c r="E172" s="8">
        <f>Data!F172</f>
        <v>436.83</v>
      </c>
      <c r="F172">
        <f t="shared" si="10"/>
        <v>3960</v>
      </c>
      <c r="G172">
        <v>50</v>
      </c>
      <c r="H172">
        <f t="shared" si="11"/>
        <v>87.366</v>
      </c>
      <c r="I172">
        <f t="shared" si="12"/>
        <v>67</v>
      </c>
      <c r="J172">
        <f t="shared" si="13"/>
        <v>1953</v>
      </c>
      <c r="K172" t="str">
        <f t="shared" si="14"/>
        <v>Stock OK</v>
      </c>
    </row>
    <row r="173" spans="1:11" x14ac:dyDescent="0.3">
      <c r="A173" t="str">
        <f>Data!A173</f>
        <v>ELE0172</v>
      </c>
      <c r="B173" t="str">
        <f>Data!B173</f>
        <v>Electronics Item 172</v>
      </c>
      <c r="C173" s="2">
        <f>Data!D173</f>
        <v>333</v>
      </c>
      <c r="D173" s="2">
        <f>Data!E173</f>
        <v>123</v>
      </c>
      <c r="E173" s="8">
        <f>Data!F173</f>
        <v>498.73</v>
      </c>
      <c r="F173">
        <f t="shared" si="10"/>
        <v>3996</v>
      </c>
      <c r="G173">
        <v>50</v>
      </c>
      <c r="H173">
        <f t="shared" si="11"/>
        <v>99.746000000000009</v>
      </c>
      <c r="I173">
        <f t="shared" si="12"/>
        <v>63</v>
      </c>
      <c r="J173">
        <f t="shared" si="13"/>
        <v>1971</v>
      </c>
      <c r="K173" t="str">
        <f t="shared" si="14"/>
        <v>Stock OK</v>
      </c>
    </row>
    <row r="174" spans="1:11" x14ac:dyDescent="0.3">
      <c r="A174" t="str">
        <f>Data!A174</f>
        <v>ELE0173</v>
      </c>
      <c r="B174" t="str">
        <f>Data!B174</f>
        <v>Electronics Item 173</v>
      </c>
      <c r="C174" s="2">
        <f>Data!D174</f>
        <v>399</v>
      </c>
      <c r="D174" s="2">
        <f>Data!E174</f>
        <v>75</v>
      </c>
      <c r="E174" s="8">
        <f>Data!F174</f>
        <v>224.62</v>
      </c>
      <c r="F174">
        <f t="shared" si="10"/>
        <v>4788</v>
      </c>
      <c r="G174">
        <v>50</v>
      </c>
      <c r="H174">
        <f t="shared" si="11"/>
        <v>44.924000000000007</v>
      </c>
      <c r="I174">
        <f t="shared" si="12"/>
        <v>103</v>
      </c>
      <c r="J174">
        <f t="shared" si="13"/>
        <v>2361</v>
      </c>
      <c r="K174" t="str">
        <f t="shared" si="14"/>
        <v>Stock OK</v>
      </c>
    </row>
    <row r="175" spans="1:11" x14ac:dyDescent="0.3">
      <c r="A175" t="str">
        <f>Data!A175</f>
        <v>ELE0174</v>
      </c>
      <c r="B175" t="str">
        <f>Data!B175</f>
        <v>Electronics Item 174</v>
      </c>
      <c r="C175" s="2">
        <f>Data!D175</f>
        <v>176</v>
      </c>
      <c r="D175" s="2">
        <f>Data!E175</f>
        <v>64</v>
      </c>
      <c r="E175" s="8">
        <f>Data!F175</f>
        <v>150.22</v>
      </c>
      <c r="F175">
        <f t="shared" si="10"/>
        <v>2112</v>
      </c>
      <c r="G175">
        <v>50</v>
      </c>
      <c r="H175">
        <f t="shared" si="11"/>
        <v>30.044</v>
      </c>
      <c r="I175">
        <f t="shared" si="12"/>
        <v>84</v>
      </c>
      <c r="J175">
        <f t="shared" si="13"/>
        <v>1042</v>
      </c>
      <c r="K175" t="str">
        <f t="shared" si="14"/>
        <v>Stock OK</v>
      </c>
    </row>
    <row r="176" spans="1:11" x14ac:dyDescent="0.3">
      <c r="A176" t="str">
        <f>Data!A176</f>
        <v>ELE0175</v>
      </c>
      <c r="B176" t="str">
        <f>Data!B176</f>
        <v>Electronics Item 175</v>
      </c>
      <c r="C176" s="2">
        <f>Data!D176</f>
        <v>281</v>
      </c>
      <c r="D176" s="2">
        <f>Data!E176</f>
        <v>155</v>
      </c>
      <c r="E176" s="8">
        <f>Data!F176</f>
        <v>285.13</v>
      </c>
      <c r="F176">
        <f t="shared" si="10"/>
        <v>3372</v>
      </c>
      <c r="G176">
        <v>50</v>
      </c>
      <c r="H176">
        <f t="shared" si="11"/>
        <v>57.026000000000003</v>
      </c>
      <c r="I176">
        <f t="shared" si="12"/>
        <v>77</v>
      </c>
      <c r="J176">
        <f t="shared" si="13"/>
        <v>1663</v>
      </c>
      <c r="K176" t="str">
        <f t="shared" si="14"/>
        <v>Stock OK</v>
      </c>
    </row>
    <row r="177" spans="1:11" x14ac:dyDescent="0.3">
      <c r="A177" t="str">
        <f>Data!A177</f>
        <v>ELE0176</v>
      </c>
      <c r="B177" t="str">
        <f>Data!B177</f>
        <v>Electronics Item 176</v>
      </c>
      <c r="C177" s="2">
        <f>Data!D177</f>
        <v>50</v>
      </c>
      <c r="D177" s="2">
        <f>Data!E177</f>
        <v>147</v>
      </c>
      <c r="E177" s="8">
        <f>Data!F177</f>
        <v>311.76</v>
      </c>
      <c r="F177">
        <f t="shared" si="10"/>
        <v>600</v>
      </c>
      <c r="G177">
        <v>50</v>
      </c>
      <c r="H177">
        <f t="shared" si="11"/>
        <v>62.352000000000004</v>
      </c>
      <c r="I177">
        <f t="shared" si="12"/>
        <v>31</v>
      </c>
      <c r="J177">
        <f t="shared" si="13"/>
        <v>296</v>
      </c>
      <c r="K177" t="str">
        <f t="shared" si="14"/>
        <v>Order Now</v>
      </c>
    </row>
    <row r="178" spans="1:11" x14ac:dyDescent="0.3">
      <c r="A178" t="str">
        <f>Data!A178</f>
        <v>ELE0177</v>
      </c>
      <c r="B178" t="str">
        <f>Data!B178</f>
        <v>Electronics Item 177</v>
      </c>
      <c r="C178" s="2">
        <f>Data!D178</f>
        <v>128</v>
      </c>
      <c r="D178" s="2">
        <f>Data!E178</f>
        <v>168</v>
      </c>
      <c r="E178" s="8">
        <f>Data!F178</f>
        <v>320.76</v>
      </c>
      <c r="F178">
        <f t="shared" si="10"/>
        <v>1536</v>
      </c>
      <c r="G178">
        <v>50</v>
      </c>
      <c r="H178">
        <f t="shared" si="11"/>
        <v>64.152000000000001</v>
      </c>
      <c r="I178">
        <f t="shared" si="12"/>
        <v>49</v>
      </c>
      <c r="J178">
        <f t="shared" si="13"/>
        <v>757</v>
      </c>
      <c r="K178" t="str">
        <f t="shared" si="14"/>
        <v>Order Now</v>
      </c>
    </row>
    <row r="179" spans="1:11" x14ac:dyDescent="0.3">
      <c r="A179" t="str">
        <f>Data!A179</f>
        <v>ELE0178</v>
      </c>
      <c r="B179" t="str">
        <f>Data!B179</f>
        <v>Electronics Item 178</v>
      </c>
      <c r="C179" s="2">
        <f>Data!D179</f>
        <v>470</v>
      </c>
      <c r="D179" s="2">
        <f>Data!E179</f>
        <v>169</v>
      </c>
      <c r="E179" s="8">
        <f>Data!F179</f>
        <v>451.1</v>
      </c>
      <c r="F179">
        <f t="shared" si="10"/>
        <v>5640</v>
      </c>
      <c r="G179">
        <v>50</v>
      </c>
      <c r="H179">
        <f t="shared" si="11"/>
        <v>90.220000000000013</v>
      </c>
      <c r="I179">
        <f t="shared" si="12"/>
        <v>79</v>
      </c>
      <c r="J179">
        <f t="shared" si="13"/>
        <v>2781</v>
      </c>
      <c r="K179" t="str">
        <f t="shared" si="14"/>
        <v>Stock OK</v>
      </c>
    </row>
    <row r="180" spans="1:11" x14ac:dyDescent="0.3">
      <c r="A180" t="str">
        <f>Data!A180</f>
        <v>ELE0179</v>
      </c>
      <c r="B180" t="str">
        <f>Data!B180</f>
        <v>Electronics Item 179</v>
      </c>
      <c r="C180" s="2">
        <f>Data!D180</f>
        <v>236</v>
      </c>
      <c r="D180" s="2">
        <f>Data!E180</f>
        <v>138</v>
      </c>
      <c r="E180" s="8">
        <f>Data!F180</f>
        <v>493.89</v>
      </c>
      <c r="F180">
        <f t="shared" si="10"/>
        <v>2832</v>
      </c>
      <c r="G180">
        <v>50</v>
      </c>
      <c r="H180">
        <f t="shared" si="11"/>
        <v>98.778000000000006</v>
      </c>
      <c r="I180">
        <f t="shared" si="12"/>
        <v>54</v>
      </c>
      <c r="J180">
        <f t="shared" si="13"/>
        <v>1397</v>
      </c>
      <c r="K180" t="str">
        <f t="shared" si="14"/>
        <v>Stock OK</v>
      </c>
    </row>
    <row r="181" spans="1:11" x14ac:dyDescent="0.3">
      <c r="A181" t="str">
        <f>Data!A181</f>
        <v>ELE0180</v>
      </c>
      <c r="B181" t="str">
        <f>Data!B181</f>
        <v>Electronics Item 180</v>
      </c>
      <c r="C181" s="2">
        <f>Data!D181</f>
        <v>138</v>
      </c>
      <c r="D181" s="2">
        <f>Data!E181</f>
        <v>166</v>
      </c>
      <c r="E181" s="8">
        <f>Data!F181</f>
        <v>423.43</v>
      </c>
      <c r="F181">
        <f t="shared" si="10"/>
        <v>1656</v>
      </c>
      <c r="G181">
        <v>50</v>
      </c>
      <c r="H181">
        <f t="shared" si="11"/>
        <v>84.686000000000007</v>
      </c>
      <c r="I181">
        <f t="shared" si="12"/>
        <v>44</v>
      </c>
      <c r="J181">
        <f t="shared" si="13"/>
        <v>817</v>
      </c>
      <c r="K181" t="str">
        <f t="shared" si="14"/>
        <v>Order Now</v>
      </c>
    </row>
    <row r="182" spans="1:11" x14ac:dyDescent="0.3">
      <c r="A182" t="str">
        <f>Data!A182</f>
        <v>ELE0181</v>
      </c>
      <c r="B182" t="str">
        <f>Data!B182</f>
        <v>Electronics Item 181</v>
      </c>
      <c r="C182" s="2">
        <f>Data!D182</f>
        <v>131</v>
      </c>
      <c r="D182" s="2">
        <f>Data!E182</f>
        <v>147</v>
      </c>
      <c r="E182" s="8">
        <f>Data!F182</f>
        <v>288.10000000000002</v>
      </c>
      <c r="F182">
        <f t="shared" si="10"/>
        <v>1572</v>
      </c>
      <c r="G182">
        <v>50</v>
      </c>
      <c r="H182">
        <f t="shared" si="11"/>
        <v>57.620000000000005</v>
      </c>
      <c r="I182">
        <f t="shared" si="12"/>
        <v>52</v>
      </c>
      <c r="J182">
        <f t="shared" si="13"/>
        <v>775</v>
      </c>
      <c r="K182" t="str">
        <f t="shared" si="14"/>
        <v>Order Now</v>
      </c>
    </row>
    <row r="183" spans="1:11" x14ac:dyDescent="0.3">
      <c r="A183" t="str">
        <f>Data!A183</f>
        <v>ELE0182</v>
      </c>
      <c r="B183" t="str">
        <f>Data!B183</f>
        <v>Electronics Item 182</v>
      </c>
      <c r="C183" s="2">
        <f>Data!D183</f>
        <v>21</v>
      </c>
      <c r="D183" s="2">
        <f>Data!E183</f>
        <v>151</v>
      </c>
      <c r="E183" s="8">
        <f>Data!F183</f>
        <v>140.87</v>
      </c>
      <c r="F183">
        <f t="shared" si="10"/>
        <v>252</v>
      </c>
      <c r="G183">
        <v>50</v>
      </c>
      <c r="H183">
        <f t="shared" si="11"/>
        <v>28.174000000000003</v>
      </c>
      <c r="I183">
        <f t="shared" si="12"/>
        <v>30</v>
      </c>
      <c r="J183">
        <f t="shared" si="13"/>
        <v>124</v>
      </c>
      <c r="K183" t="str">
        <f t="shared" si="14"/>
        <v>Order Now</v>
      </c>
    </row>
    <row r="184" spans="1:11" x14ac:dyDescent="0.3">
      <c r="A184" t="str">
        <f>Data!A184</f>
        <v>ELE0183</v>
      </c>
      <c r="B184" t="str">
        <f>Data!B184</f>
        <v>Electronics Item 183</v>
      </c>
      <c r="C184" s="2">
        <f>Data!D184</f>
        <v>476</v>
      </c>
      <c r="D184" s="2">
        <f>Data!E184</f>
        <v>177</v>
      </c>
      <c r="E184" s="8">
        <f>Data!F184</f>
        <v>417.26</v>
      </c>
      <c r="F184">
        <f t="shared" si="10"/>
        <v>5712</v>
      </c>
      <c r="G184">
        <v>50</v>
      </c>
      <c r="H184">
        <f t="shared" si="11"/>
        <v>83.451999999999998</v>
      </c>
      <c r="I184">
        <f t="shared" si="12"/>
        <v>83</v>
      </c>
      <c r="J184">
        <f t="shared" si="13"/>
        <v>2817</v>
      </c>
      <c r="K184" t="str">
        <f t="shared" si="14"/>
        <v>Stock OK</v>
      </c>
    </row>
    <row r="185" spans="1:11" x14ac:dyDescent="0.3">
      <c r="A185" t="str">
        <f>Data!A185</f>
        <v>ELE0184</v>
      </c>
      <c r="B185" t="str">
        <f>Data!B185</f>
        <v>Electronics Item 184</v>
      </c>
      <c r="C185" s="2">
        <f>Data!D185</f>
        <v>420</v>
      </c>
      <c r="D185" s="2">
        <f>Data!E185</f>
        <v>140</v>
      </c>
      <c r="E185" s="8">
        <f>Data!F185</f>
        <v>113.41</v>
      </c>
      <c r="F185">
        <f t="shared" si="10"/>
        <v>5040</v>
      </c>
      <c r="G185">
        <v>50</v>
      </c>
      <c r="H185">
        <f t="shared" si="11"/>
        <v>22.682000000000002</v>
      </c>
      <c r="I185">
        <f t="shared" si="12"/>
        <v>149</v>
      </c>
      <c r="J185">
        <f t="shared" si="13"/>
        <v>2485</v>
      </c>
      <c r="K185" t="str">
        <f t="shared" si="14"/>
        <v>Stock OK</v>
      </c>
    </row>
    <row r="186" spans="1:11" x14ac:dyDescent="0.3">
      <c r="A186" t="str">
        <f>Data!A186</f>
        <v>ELE0185</v>
      </c>
      <c r="B186" t="str">
        <f>Data!B186</f>
        <v>Electronics Item 185</v>
      </c>
      <c r="C186" s="2">
        <f>Data!D186</f>
        <v>396</v>
      </c>
      <c r="D186" s="2">
        <f>Data!E186</f>
        <v>85</v>
      </c>
      <c r="E186" s="8">
        <f>Data!F186</f>
        <v>315.98</v>
      </c>
      <c r="F186">
        <f t="shared" si="10"/>
        <v>4752</v>
      </c>
      <c r="G186">
        <v>50</v>
      </c>
      <c r="H186">
        <f t="shared" si="11"/>
        <v>63.196000000000005</v>
      </c>
      <c r="I186">
        <f t="shared" si="12"/>
        <v>87</v>
      </c>
      <c r="J186">
        <f t="shared" si="13"/>
        <v>2343</v>
      </c>
      <c r="K186" t="str">
        <f t="shared" si="14"/>
        <v>Stock OK</v>
      </c>
    </row>
    <row r="187" spans="1:11" x14ac:dyDescent="0.3">
      <c r="A187" t="str">
        <f>Data!A187</f>
        <v>ELE0186</v>
      </c>
      <c r="B187" t="str">
        <f>Data!B187</f>
        <v>Electronics Item 186</v>
      </c>
      <c r="C187" s="2">
        <f>Data!D187</f>
        <v>168</v>
      </c>
      <c r="D187" s="2">
        <f>Data!E187</f>
        <v>162</v>
      </c>
      <c r="E187" s="8">
        <f>Data!F187</f>
        <v>21.52</v>
      </c>
      <c r="F187">
        <f t="shared" si="10"/>
        <v>2016</v>
      </c>
      <c r="G187">
        <v>50</v>
      </c>
      <c r="H187">
        <f t="shared" si="11"/>
        <v>4.3040000000000003</v>
      </c>
      <c r="I187">
        <f t="shared" si="12"/>
        <v>216</v>
      </c>
      <c r="J187">
        <f t="shared" si="13"/>
        <v>994</v>
      </c>
      <c r="K187" t="str">
        <f t="shared" si="14"/>
        <v>Stock OK</v>
      </c>
    </row>
    <row r="188" spans="1:11" x14ac:dyDescent="0.3">
      <c r="A188" t="str">
        <f>Data!A188</f>
        <v>ELE0187</v>
      </c>
      <c r="B188" t="str">
        <f>Data!B188</f>
        <v>Electronics Item 187</v>
      </c>
      <c r="C188" s="2">
        <f>Data!D188</f>
        <v>475</v>
      </c>
      <c r="D188" s="2">
        <f>Data!E188</f>
        <v>125</v>
      </c>
      <c r="E188" s="8">
        <f>Data!F188</f>
        <v>166.73</v>
      </c>
      <c r="F188">
        <f t="shared" si="10"/>
        <v>5700</v>
      </c>
      <c r="G188">
        <v>50</v>
      </c>
      <c r="H188">
        <f t="shared" si="11"/>
        <v>33.345999999999997</v>
      </c>
      <c r="I188">
        <f t="shared" si="12"/>
        <v>131</v>
      </c>
      <c r="J188">
        <f t="shared" si="13"/>
        <v>2811</v>
      </c>
      <c r="K188" t="str">
        <f t="shared" si="14"/>
        <v>Stock OK</v>
      </c>
    </row>
    <row r="189" spans="1:11" x14ac:dyDescent="0.3">
      <c r="A189" t="str">
        <f>Data!A189</f>
        <v>ELE0188</v>
      </c>
      <c r="B189" t="str">
        <f>Data!B189</f>
        <v>Electronics Item 188</v>
      </c>
      <c r="C189" s="2">
        <f>Data!D189</f>
        <v>412</v>
      </c>
      <c r="D189" s="2">
        <f>Data!E189</f>
        <v>188</v>
      </c>
      <c r="E189" s="8">
        <f>Data!F189</f>
        <v>438.85</v>
      </c>
      <c r="F189">
        <f t="shared" si="10"/>
        <v>4944</v>
      </c>
      <c r="G189">
        <v>50</v>
      </c>
      <c r="H189">
        <f t="shared" si="11"/>
        <v>87.77000000000001</v>
      </c>
      <c r="I189">
        <f t="shared" si="12"/>
        <v>75</v>
      </c>
      <c r="J189">
        <f t="shared" si="13"/>
        <v>2438</v>
      </c>
      <c r="K189" t="str">
        <f t="shared" si="14"/>
        <v>Stock OK</v>
      </c>
    </row>
    <row r="190" spans="1:11" x14ac:dyDescent="0.3">
      <c r="A190" t="str">
        <f>Data!A190</f>
        <v>ELE0189</v>
      </c>
      <c r="B190" t="str">
        <f>Data!B190</f>
        <v>Electronics Item 189</v>
      </c>
      <c r="C190" s="2">
        <f>Data!D190</f>
        <v>435</v>
      </c>
      <c r="D190" s="2">
        <f>Data!E190</f>
        <v>92</v>
      </c>
      <c r="E190" s="8">
        <f>Data!F190</f>
        <v>132.19999999999999</v>
      </c>
      <c r="F190">
        <f t="shared" si="10"/>
        <v>5220</v>
      </c>
      <c r="G190">
        <v>50</v>
      </c>
      <c r="H190">
        <f t="shared" si="11"/>
        <v>26.439999999999998</v>
      </c>
      <c r="I190">
        <f t="shared" si="12"/>
        <v>141</v>
      </c>
      <c r="J190">
        <f t="shared" si="13"/>
        <v>2574</v>
      </c>
      <c r="K190" t="str">
        <f t="shared" si="14"/>
        <v>Stock OK</v>
      </c>
    </row>
    <row r="191" spans="1:11" x14ac:dyDescent="0.3">
      <c r="A191" t="str">
        <f>Data!A191</f>
        <v>ELE0190</v>
      </c>
      <c r="B191" t="str">
        <f>Data!B191</f>
        <v>Electronics Item 190</v>
      </c>
      <c r="C191" s="2">
        <f>Data!D191</f>
        <v>455</v>
      </c>
      <c r="D191" s="2">
        <f>Data!E191</f>
        <v>136</v>
      </c>
      <c r="E191" s="8">
        <f>Data!F191</f>
        <v>403.1</v>
      </c>
      <c r="F191">
        <f t="shared" si="10"/>
        <v>5460</v>
      </c>
      <c r="G191">
        <v>50</v>
      </c>
      <c r="H191">
        <f t="shared" si="11"/>
        <v>80.62</v>
      </c>
      <c r="I191">
        <f t="shared" si="12"/>
        <v>82</v>
      </c>
      <c r="J191">
        <f t="shared" si="13"/>
        <v>2693</v>
      </c>
      <c r="K191" t="str">
        <f t="shared" si="14"/>
        <v>Stock OK</v>
      </c>
    </row>
    <row r="192" spans="1:11" x14ac:dyDescent="0.3">
      <c r="A192" t="str">
        <f>Data!A192</f>
        <v>ELE0191</v>
      </c>
      <c r="B192" t="str">
        <f>Data!B192</f>
        <v>Electronics Item 191</v>
      </c>
      <c r="C192" s="2">
        <f>Data!D192</f>
        <v>450</v>
      </c>
      <c r="D192" s="2">
        <f>Data!E192</f>
        <v>151</v>
      </c>
      <c r="E192" s="8">
        <f>Data!F192</f>
        <v>483.8</v>
      </c>
      <c r="F192">
        <f t="shared" si="10"/>
        <v>5400</v>
      </c>
      <c r="G192">
        <v>50</v>
      </c>
      <c r="H192">
        <f t="shared" si="11"/>
        <v>96.76</v>
      </c>
      <c r="I192">
        <f t="shared" si="12"/>
        <v>75</v>
      </c>
      <c r="J192">
        <f t="shared" si="13"/>
        <v>2663</v>
      </c>
      <c r="K192" t="str">
        <f t="shared" si="14"/>
        <v>Stock OK</v>
      </c>
    </row>
    <row r="193" spans="1:11" x14ac:dyDescent="0.3">
      <c r="A193" t="str">
        <f>Data!A193</f>
        <v>ELE0192</v>
      </c>
      <c r="B193" t="str">
        <f>Data!B193</f>
        <v>Electronics Item 192</v>
      </c>
      <c r="C193" s="2">
        <f>Data!D193</f>
        <v>414</v>
      </c>
      <c r="D193" s="2">
        <f>Data!E193</f>
        <v>151</v>
      </c>
      <c r="E193" s="8">
        <f>Data!F193</f>
        <v>11.89</v>
      </c>
      <c r="F193">
        <f t="shared" si="10"/>
        <v>4968</v>
      </c>
      <c r="G193">
        <v>50</v>
      </c>
      <c r="H193">
        <f t="shared" si="11"/>
        <v>2.3780000000000001</v>
      </c>
      <c r="I193">
        <f t="shared" si="12"/>
        <v>457</v>
      </c>
      <c r="J193">
        <f t="shared" si="13"/>
        <v>2450</v>
      </c>
      <c r="K193" t="str">
        <f t="shared" si="14"/>
        <v>Stock OK</v>
      </c>
    </row>
    <row r="194" spans="1:11" x14ac:dyDescent="0.3">
      <c r="A194" t="str">
        <f>Data!A194</f>
        <v>ELE0193</v>
      </c>
      <c r="B194" t="str">
        <f>Data!B194</f>
        <v>Electronics Item 193</v>
      </c>
      <c r="C194" s="2">
        <f>Data!D194</f>
        <v>354</v>
      </c>
      <c r="D194" s="2">
        <f>Data!E194</f>
        <v>117</v>
      </c>
      <c r="E194" s="8">
        <f>Data!F194</f>
        <v>294.36</v>
      </c>
      <c r="F194">
        <f t="shared" si="10"/>
        <v>4248</v>
      </c>
      <c r="G194">
        <v>50</v>
      </c>
      <c r="H194">
        <f t="shared" si="11"/>
        <v>58.872000000000007</v>
      </c>
      <c r="I194">
        <f t="shared" si="12"/>
        <v>85</v>
      </c>
      <c r="J194">
        <f t="shared" si="13"/>
        <v>2095</v>
      </c>
      <c r="K194" t="str">
        <f t="shared" si="14"/>
        <v>Stock OK</v>
      </c>
    </row>
    <row r="195" spans="1:11" x14ac:dyDescent="0.3">
      <c r="A195" t="str">
        <f>Data!A195</f>
        <v>ELE0194</v>
      </c>
      <c r="B195" t="str">
        <f>Data!B195</f>
        <v>Electronics Item 194</v>
      </c>
      <c r="C195" s="2">
        <f>Data!D195</f>
        <v>355</v>
      </c>
      <c r="D195" s="2">
        <f>Data!E195</f>
        <v>109</v>
      </c>
      <c r="E195" s="8">
        <f>Data!F195</f>
        <v>238.38</v>
      </c>
      <c r="F195">
        <f t="shared" ref="F195:F201" si="15">C195*12</f>
        <v>4260</v>
      </c>
      <c r="G195">
        <v>50</v>
      </c>
      <c r="H195">
        <f t="shared" ref="H195:H201" si="16">E195*20%</f>
        <v>47.676000000000002</v>
      </c>
      <c r="I195">
        <f t="shared" ref="I195:I201" si="17">ROUND(SQRT((2*F195*G195)/H195),0)</f>
        <v>95</v>
      </c>
      <c r="J195">
        <f t="shared" ref="J195:J201" si="18">ROUND((F195/365)*180,0)</f>
        <v>2101</v>
      </c>
      <c r="K195" t="str">
        <f t="shared" ref="K195:K201" si="19">IF(C195&lt;=D195,"Order Now","Stock OK")</f>
        <v>Stock OK</v>
      </c>
    </row>
    <row r="196" spans="1:11" x14ac:dyDescent="0.3">
      <c r="A196" t="str">
        <f>Data!A196</f>
        <v>ELE0195</v>
      </c>
      <c r="B196" t="str">
        <f>Data!B196</f>
        <v>Electronics Item 195</v>
      </c>
      <c r="C196" s="2">
        <f>Data!D196</f>
        <v>123</v>
      </c>
      <c r="D196" s="2">
        <f>Data!E196</f>
        <v>66</v>
      </c>
      <c r="E196" s="8">
        <f>Data!F196</f>
        <v>319.52</v>
      </c>
      <c r="F196">
        <f t="shared" si="15"/>
        <v>1476</v>
      </c>
      <c r="G196">
        <v>50</v>
      </c>
      <c r="H196">
        <f t="shared" si="16"/>
        <v>63.903999999999996</v>
      </c>
      <c r="I196">
        <f t="shared" si="17"/>
        <v>48</v>
      </c>
      <c r="J196">
        <f t="shared" si="18"/>
        <v>728</v>
      </c>
      <c r="K196" t="str">
        <f t="shared" si="19"/>
        <v>Stock OK</v>
      </c>
    </row>
    <row r="197" spans="1:11" x14ac:dyDescent="0.3">
      <c r="A197" t="str">
        <f>Data!A197</f>
        <v>ELE0196</v>
      </c>
      <c r="B197" t="str">
        <f>Data!B197</f>
        <v>Electronics Item 196</v>
      </c>
      <c r="C197" s="2">
        <f>Data!D197</f>
        <v>219</v>
      </c>
      <c r="D197" s="2">
        <f>Data!E197</f>
        <v>79</v>
      </c>
      <c r="E197" s="8">
        <f>Data!F197</f>
        <v>74.19</v>
      </c>
      <c r="F197">
        <f t="shared" si="15"/>
        <v>2628</v>
      </c>
      <c r="G197">
        <v>50</v>
      </c>
      <c r="H197">
        <f t="shared" si="16"/>
        <v>14.838000000000001</v>
      </c>
      <c r="I197">
        <f t="shared" si="17"/>
        <v>133</v>
      </c>
      <c r="J197">
        <f t="shared" si="18"/>
        <v>1296</v>
      </c>
      <c r="K197" t="str">
        <f t="shared" si="19"/>
        <v>Stock OK</v>
      </c>
    </row>
    <row r="198" spans="1:11" x14ac:dyDescent="0.3">
      <c r="A198" t="str">
        <f>Data!A198</f>
        <v>ELE0197</v>
      </c>
      <c r="B198" t="str">
        <f>Data!B198</f>
        <v>Electronics Item 197</v>
      </c>
      <c r="C198" s="2">
        <f>Data!D198</f>
        <v>69</v>
      </c>
      <c r="D198" s="2">
        <f>Data!E198</f>
        <v>74</v>
      </c>
      <c r="E198" s="8">
        <f>Data!F198</f>
        <v>121.23</v>
      </c>
      <c r="F198">
        <f t="shared" si="15"/>
        <v>828</v>
      </c>
      <c r="G198">
        <v>50</v>
      </c>
      <c r="H198">
        <f t="shared" si="16"/>
        <v>24.246000000000002</v>
      </c>
      <c r="I198">
        <f t="shared" si="17"/>
        <v>58</v>
      </c>
      <c r="J198">
        <f t="shared" si="18"/>
        <v>408</v>
      </c>
      <c r="K198" t="str">
        <f t="shared" si="19"/>
        <v>Order Now</v>
      </c>
    </row>
    <row r="199" spans="1:11" x14ac:dyDescent="0.3">
      <c r="A199" t="str">
        <f>Data!A199</f>
        <v>ELE0198</v>
      </c>
      <c r="B199" t="str">
        <f>Data!B199</f>
        <v>Electronics Item 198</v>
      </c>
      <c r="C199" s="2">
        <f>Data!D199</f>
        <v>199</v>
      </c>
      <c r="D199" s="2">
        <f>Data!E199</f>
        <v>188</v>
      </c>
      <c r="E199" s="8">
        <f>Data!F199</f>
        <v>212.47</v>
      </c>
      <c r="F199">
        <f t="shared" si="15"/>
        <v>2388</v>
      </c>
      <c r="G199">
        <v>50</v>
      </c>
      <c r="H199">
        <f t="shared" si="16"/>
        <v>42.494</v>
      </c>
      <c r="I199">
        <f t="shared" si="17"/>
        <v>75</v>
      </c>
      <c r="J199">
        <f t="shared" si="18"/>
        <v>1178</v>
      </c>
      <c r="K199" t="str">
        <f t="shared" si="19"/>
        <v>Stock OK</v>
      </c>
    </row>
    <row r="200" spans="1:11" x14ac:dyDescent="0.3">
      <c r="A200" t="str">
        <f>Data!A200</f>
        <v>ELE0199</v>
      </c>
      <c r="B200" t="str">
        <f>Data!B200</f>
        <v>Electronics Item 199</v>
      </c>
      <c r="C200" s="2">
        <f>Data!D200</f>
        <v>345</v>
      </c>
      <c r="D200" s="2">
        <f>Data!E200</f>
        <v>75</v>
      </c>
      <c r="E200" s="8">
        <f>Data!F200</f>
        <v>417.68</v>
      </c>
      <c r="F200">
        <f t="shared" si="15"/>
        <v>4140</v>
      </c>
      <c r="G200">
        <v>50</v>
      </c>
      <c r="H200">
        <f t="shared" si="16"/>
        <v>83.536000000000001</v>
      </c>
      <c r="I200">
        <f t="shared" si="17"/>
        <v>70</v>
      </c>
      <c r="J200">
        <f t="shared" si="18"/>
        <v>2042</v>
      </c>
      <c r="K200" t="str">
        <f t="shared" si="19"/>
        <v>Stock OK</v>
      </c>
    </row>
    <row r="201" spans="1:11" x14ac:dyDescent="0.3">
      <c r="A201" t="str">
        <f>Data!A201</f>
        <v>ELE0200</v>
      </c>
      <c r="B201" t="str">
        <f>Data!B201</f>
        <v>Electronics Item 200</v>
      </c>
      <c r="C201" s="2">
        <f>Data!D201</f>
        <v>363</v>
      </c>
      <c r="D201" s="2">
        <f>Data!E201</f>
        <v>144</v>
      </c>
      <c r="E201" s="8">
        <f>Data!F201</f>
        <v>112.55</v>
      </c>
      <c r="F201">
        <f t="shared" si="15"/>
        <v>4356</v>
      </c>
      <c r="G201">
        <v>50</v>
      </c>
      <c r="H201">
        <f t="shared" si="16"/>
        <v>22.51</v>
      </c>
      <c r="I201">
        <f t="shared" si="17"/>
        <v>139</v>
      </c>
      <c r="J201">
        <f t="shared" si="18"/>
        <v>2148</v>
      </c>
      <c r="K201" t="str">
        <f t="shared" si="19"/>
        <v>Stock OK</v>
      </c>
    </row>
  </sheetData>
  <conditionalFormatting sqref="K2:K201">
    <cfRule type="cellIs" dxfId="14" priority="2" operator="equal">
      <formula>"Order Now"</formula>
    </cfRule>
    <cfRule type="cellIs" dxfId="13" priority="1" operator="equal">
      <formula>"Stock OK"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1"/>
  <sheetViews>
    <sheetView topLeftCell="A200" zoomScale="70" zoomScaleNormal="85" workbookViewId="0">
      <selection activeCell="J222" sqref="J222"/>
    </sheetView>
  </sheetViews>
  <sheetFormatPr defaultColWidth="8.6640625" defaultRowHeight="14.4" x14ac:dyDescent="0.3"/>
  <cols>
    <col min="2" max="2" width="18.5546875" customWidth="1"/>
    <col min="3" max="3" width="10.44140625" customWidth="1"/>
    <col min="4" max="4" width="10.109375" customWidth="1"/>
    <col min="5" max="5" width="12.88671875" customWidth="1"/>
    <col min="6" max="6" width="14" customWidth="1"/>
    <col min="7" max="7" width="12.44140625" customWidth="1"/>
    <col min="8" max="8" width="12.5546875" customWidth="1"/>
    <col min="9" max="9" width="10.44140625" customWidth="1"/>
    <col min="10" max="10" width="11.5546875" customWidth="1"/>
    <col min="12" max="12" width="18.33203125" customWidth="1"/>
    <col min="13" max="13" width="16.21875" customWidth="1"/>
    <col min="14" max="15" width="11.44140625" customWidth="1"/>
    <col min="16" max="16" width="12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11</v>
      </c>
      <c r="H1" t="s">
        <v>10</v>
      </c>
      <c r="I1" t="s">
        <v>494</v>
      </c>
      <c r="J1" t="s">
        <v>495</v>
      </c>
      <c r="L1" t="s">
        <v>496</v>
      </c>
    </row>
    <row r="2" spans="1:16" x14ac:dyDescent="0.3">
      <c r="A2" t="str">
        <f>Data!A2</f>
        <v>ELE0001</v>
      </c>
      <c r="B2" t="str">
        <f>Data!B2</f>
        <v>Electronics Item 1</v>
      </c>
      <c r="C2" t="str">
        <f>Data!C2</f>
        <v>Category A</v>
      </c>
      <c r="D2" t="str">
        <f>Data!G2</f>
        <v>Supplier X</v>
      </c>
      <c r="E2" s="2">
        <f>Data!D2</f>
        <v>337</v>
      </c>
      <c r="F2" s="2">
        <f>Data!E2</f>
        <v>78</v>
      </c>
      <c r="G2" s="8">
        <f>Data!L2</f>
        <v>5857.06</v>
      </c>
      <c r="H2" t="str">
        <f>Data!K2</f>
        <v>Sufficient</v>
      </c>
      <c r="I2">
        <f>ROUND(MAX(MIN(((F2-E2)/F2)*100,100),0),0)</f>
        <v>0</v>
      </c>
      <c r="J2" t="str">
        <f>IF(H2="Below Reorder","High Risk",IF(I2&gt;0,"Medium Risk","Low Risk"))</f>
        <v>Low Risk</v>
      </c>
      <c r="L2" t="s">
        <v>495</v>
      </c>
      <c r="M2" t="s">
        <v>470</v>
      </c>
      <c r="N2" t="s">
        <v>471</v>
      </c>
    </row>
    <row r="3" spans="1:16" x14ac:dyDescent="0.3">
      <c r="A3" t="str">
        <f>Data!A3</f>
        <v>ELE0002</v>
      </c>
      <c r="B3" t="str">
        <f>Data!B3</f>
        <v>Electronics Item 2</v>
      </c>
      <c r="C3" t="str">
        <f>Data!C3</f>
        <v>Category C</v>
      </c>
      <c r="D3" t="str">
        <f>Data!G3</f>
        <v>Supplier X</v>
      </c>
      <c r="E3" s="2">
        <f>Data!D3</f>
        <v>387</v>
      </c>
      <c r="F3" s="2">
        <f>Data!E3</f>
        <v>76</v>
      </c>
      <c r="G3" s="8">
        <f>Data!L3</f>
        <v>131568.39000000001</v>
      </c>
      <c r="H3" t="str">
        <f>Data!K3</f>
        <v>Sufficient</v>
      </c>
      <c r="I3" s="22">
        <f t="shared" ref="I3:I66" si="0">ROUND(MAX(MIN(((F3-E3)/F3)*100,100),0),0)</f>
        <v>0</v>
      </c>
      <c r="J3" s="22" t="str">
        <f t="shared" ref="J3:J66" si="1">IF(H3="Below Reorder","High Risk",IF(I3&gt;0,"Medium Risk","Low Risk"))</f>
        <v>Low Risk</v>
      </c>
      <c r="L3" t="s">
        <v>497</v>
      </c>
      <c r="M3">
        <f>COUNTIF($J$2:$J$201,"High Risk")</f>
        <v>47</v>
      </c>
      <c r="N3">
        <f>SUMIF($J$2:$J$201,"High Risk",$G$2:$G$201)</f>
        <v>859735.45</v>
      </c>
    </row>
    <row r="4" spans="1:16" x14ac:dyDescent="0.3">
      <c r="A4" t="str">
        <f>Data!A4</f>
        <v>ELE0003</v>
      </c>
      <c r="B4" t="str">
        <f>Data!B4</f>
        <v>Electronics Item 3</v>
      </c>
      <c r="C4" t="str">
        <f>Data!C4</f>
        <v>Category A</v>
      </c>
      <c r="D4" t="str">
        <f>Data!G4</f>
        <v>Supplier Z</v>
      </c>
      <c r="E4" s="2">
        <f>Data!D4</f>
        <v>226</v>
      </c>
      <c r="F4" s="2">
        <f>Data!E4</f>
        <v>58</v>
      </c>
      <c r="G4" s="8">
        <f>Data!L4</f>
        <v>4463.5</v>
      </c>
      <c r="H4" t="str">
        <f>Data!K4</f>
        <v>Sufficient</v>
      </c>
      <c r="I4" s="22">
        <f t="shared" si="0"/>
        <v>0</v>
      </c>
      <c r="J4" s="22" t="str">
        <f t="shared" si="1"/>
        <v>Low Risk</v>
      </c>
      <c r="L4" t="s">
        <v>498</v>
      </c>
      <c r="M4">
        <f>COUNTIF($J$2:$J$201,"Medium Risk")</f>
        <v>0</v>
      </c>
      <c r="N4">
        <f>SUMIF($J$2:$J$201,"Medium Risk",$G$2:$G$201)</f>
        <v>0</v>
      </c>
    </row>
    <row r="5" spans="1:16" ht="15" x14ac:dyDescent="0.35">
      <c r="A5" t="str">
        <f>Data!A5</f>
        <v>ELE0004</v>
      </c>
      <c r="B5" t="str">
        <f>Data!B5</f>
        <v>Electronics Item 4</v>
      </c>
      <c r="C5" t="str">
        <f>Data!C5</f>
        <v>Category C</v>
      </c>
      <c r="D5" t="str">
        <f>Data!G5</f>
        <v>Supplier Z</v>
      </c>
      <c r="E5" s="2">
        <f>Data!D5</f>
        <v>23</v>
      </c>
      <c r="F5" s="2">
        <f>Data!E5</f>
        <v>193</v>
      </c>
      <c r="G5" s="8">
        <f>Data!L5</f>
        <v>2378.66</v>
      </c>
      <c r="H5" t="str">
        <f>Data!K5</f>
        <v>Below Reorder</v>
      </c>
      <c r="I5" s="22">
        <f t="shared" si="0"/>
        <v>88</v>
      </c>
      <c r="J5" s="22" t="str">
        <f t="shared" si="1"/>
        <v>High Risk</v>
      </c>
      <c r="L5" t="s">
        <v>499</v>
      </c>
      <c r="M5">
        <f>COUNTIF($J$2:$J$201,"Low Risk")</f>
        <v>153</v>
      </c>
      <c r="N5" s="4">
        <f>SUMIF($J$2:$J$201,"Low Risk",$G$2:$G$201)</f>
        <v>12611142.699999999</v>
      </c>
    </row>
    <row r="6" spans="1:16" x14ac:dyDescent="0.3">
      <c r="A6" t="str">
        <f>Data!A6</f>
        <v>ELE0005</v>
      </c>
      <c r="B6" t="str">
        <f>Data!B6</f>
        <v>Electronics Item 5</v>
      </c>
      <c r="C6" t="str">
        <f>Data!C6</f>
        <v>Category A</v>
      </c>
      <c r="D6" t="str">
        <f>Data!G6</f>
        <v>Supplier X</v>
      </c>
      <c r="E6" s="2">
        <f>Data!D6</f>
        <v>122</v>
      </c>
      <c r="F6" s="2">
        <f>Data!E6</f>
        <v>164</v>
      </c>
      <c r="G6" s="8">
        <f>Data!L6</f>
        <v>36196.18</v>
      </c>
      <c r="H6" t="str">
        <f>Data!K6</f>
        <v>Below Reorder</v>
      </c>
      <c r="I6" s="22">
        <f t="shared" si="0"/>
        <v>26</v>
      </c>
      <c r="J6" s="22" t="str">
        <f t="shared" si="1"/>
        <v>High Risk</v>
      </c>
      <c r="L6" t="s">
        <v>475</v>
      </c>
      <c r="M6">
        <f>SUM(M3:M5)</f>
        <v>200</v>
      </c>
      <c r="N6">
        <f>SUM(N3:N5)</f>
        <v>13470878.149999999</v>
      </c>
    </row>
    <row r="7" spans="1:16" x14ac:dyDescent="0.3">
      <c r="A7" t="str">
        <f>Data!A7</f>
        <v>ELE0006</v>
      </c>
      <c r="B7" t="str">
        <f>Data!B7</f>
        <v>Electronics Item 6</v>
      </c>
      <c r="C7" t="str">
        <f>Data!C7</f>
        <v>Category B</v>
      </c>
      <c r="D7" t="str">
        <f>Data!G7</f>
        <v>Supplier X</v>
      </c>
      <c r="E7" s="2">
        <f>Data!D7</f>
        <v>226</v>
      </c>
      <c r="F7" s="2">
        <f>Data!E7</f>
        <v>137</v>
      </c>
      <c r="G7" s="8">
        <f>Data!L7</f>
        <v>32216.3</v>
      </c>
      <c r="H7" t="str">
        <f>Data!K7</f>
        <v>Sufficient</v>
      </c>
      <c r="I7" s="22">
        <f t="shared" si="0"/>
        <v>0</v>
      </c>
      <c r="J7" s="22" t="str">
        <f t="shared" si="1"/>
        <v>Low Risk</v>
      </c>
    </row>
    <row r="8" spans="1:16" x14ac:dyDescent="0.3">
      <c r="A8" t="str">
        <f>Data!A8</f>
        <v>ELE0007</v>
      </c>
      <c r="B8" t="str">
        <f>Data!B8</f>
        <v>Electronics Item 7</v>
      </c>
      <c r="C8" t="str">
        <f>Data!C8</f>
        <v>Category C</v>
      </c>
      <c r="D8" t="str">
        <f>Data!G8</f>
        <v>Supplier Y</v>
      </c>
      <c r="E8" s="2">
        <f>Data!D8</f>
        <v>204</v>
      </c>
      <c r="F8" s="2">
        <f>Data!E8</f>
        <v>74</v>
      </c>
      <c r="G8" s="8">
        <f>Data!L8</f>
        <v>37268.76</v>
      </c>
      <c r="H8" t="str">
        <f>Data!K8</f>
        <v>Sufficient</v>
      </c>
      <c r="I8" s="22">
        <f t="shared" si="0"/>
        <v>0</v>
      </c>
      <c r="J8" s="22" t="str">
        <f t="shared" si="1"/>
        <v>Low Risk</v>
      </c>
    </row>
    <row r="9" spans="1:16" x14ac:dyDescent="0.3">
      <c r="A9" t="str">
        <f>Data!A9</f>
        <v>ELE0008</v>
      </c>
      <c r="B9" t="str">
        <f>Data!B9</f>
        <v>Electronics Item 8</v>
      </c>
      <c r="C9" t="str">
        <f>Data!C9</f>
        <v>Category B</v>
      </c>
      <c r="D9" t="str">
        <f>Data!G9</f>
        <v>Supplier X</v>
      </c>
      <c r="E9" s="2">
        <f>Data!D9</f>
        <v>383</v>
      </c>
      <c r="F9" s="2">
        <f>Data!E9</f>
        <v>167</v>
      </c>
      <c r="G9" s="8">
        <f>Data!L9</f>
        <v>103574.69</v>
      </c>
      <c r="H9" t="str">
        <f>Data!K9</f>
        <v>Sufficient</v>
      </c>
      <c r="I9" s="22">
        <f t="shared" si="0"/>
        <v>0</v>
      </c>
      <c r="J9" s="22" t="str">
        <f t="shared" si="1"/>
        <v>Low Risk</v>
      </c>
    </row>
    <row r="10" spans="1:16" x14ac:dyDescent="0.3">
      <c r="A10" t="str">
        <f>Data!A10</f>
        <v>ELE0009</v>
      </c>
      <c r="B10" t="str">
        <f>Data!B10</f>
        <v>Electronics Item 9</v>
      </c>
      <c r="C10" t="str">
        <f>Data!C10</f>
        <v>Category A</v>
      </c>
      <c r="D10" t="str">
        <f>Data!G10</f>
        <v>Supplier X</v>
      </c>
      <c r="E10" s="2">
        <f>Data!D10</f>
        <v>160</v>
      </c>
      <c r="F10" s="2">
        <f>Data!E10</f>
        <v>142</v>
      </c>
      <c r="G10" s="8">
        <f>Data!L10</f>
        <v>46526.400000000001</v>
      </c>
      <c r="H10" t="str">
        <f>Data!K10</f>
        <v>Sufficient</v>
      </c>
      <c r="I10" s="22">
        <f t="shared" si="0"/>
        <v>0</v>
      </c>
      <c r="J10" s="22" t="str">
        <f t="shared" si="1"/>
        <v>Low Risk</v>
      </c>
    </row>
    <row r="11" spans="1:16" x14ac:dyDescent="0.3">
      <c r="A11" t="str">
        <f>Data!A11</f>
        <v>ELE0010</v>
      </c>
      <c r="B11" t="str">
        <f>Data!B11</f>
        <v>Electronics Item 10</v>
      </c>
      <c r="C11" t="str">
        <f>Data!C11</f>
        <v>Category A</v>
      </c>
      <c r="D11" t="str">
        <f>Data!G11</f>
        <v>Supplier X</v>
      </c>
      <c r="E11" s="2">
        <f>Data!D11</f>
        <v>126</v>
      </c>
      <c r="F11" s="2">
        <f>Data!E11</f>
        <v>124</v>
      </c>
      <c r="G11" s="8">
        <f>Data!L11</f>
        <v>62077.68</v>
      </c>
      <c r="H11" t="str">
        <f>Data!K11</f>
        <v>Sufficient</v>
      </c>
      <c r="I11" s="22">
        <f t="shared" si="0"/>
        <v>0</v>
      </c>
      <c r="J11" s="22" t="str">
        <f t="shared" si="1"/>
        <v>Low Risk</v>
      </c>
      <c r="M11" t="s">
        <v>501</v>
      </c>
    </row>
    <row r="12" spans="1:16" x14ac:dyDescent="0.3">
      <c r="A12" t="str">
        <f>Data!A12</f>
        <v>ELE0011</v>
      </c>
      <c r="B12" t="str">
        <f>Data!B12</f>
        <v>Electronics Item 11</v>
      </c>
      <c r="C12" t="str">
        <f>Data!C12</f>
        <v>Category A</v>
      </c>
      <c r="D12" t="str">
        <f>Data!G12</f>
        <v>Supplier Y</v>
      </c>
      <c r="E12" s="2">
        <f>Data!D12</f>
        <v>152</v>
      </c>
      <c r="F12" s="2">
        <f>Data!E12</f>
        <v>166</v>
      </c>
      <c r="G12" s="8">
        <f>Data!L12</f>
        <v>48588.32</v>
      </c>
      <c r="H12" t="str">
        <f>Data!K12</f>
        <v>Below Reorder</v>
      </c>
      <c r="I12" s="22">
        <f t="shared" si="0"/>
        <v>8</v>
      </c>
      <c r="J12" s="22" t="str">
        <f t="shared" si="1"/>
        <v>High Risk</v>
      </c>
      <c r="L12" s="6" t="s">
        <v>500</v>
      </c>
      <c r="M12" s="6" t="s">
        <v>493</v>
      </c>
    </row>
    <row r="13" spans="1:16" x14ac:dyDescent="0.3">
      <c r="A13" t="str">
        <f>Data!A13</f>
        <v>ELE0012</v>
      </c>
      <c r="B13" t="str">
        <f>Data!B13</f>
        <v>Electronics Item 12</v>
      </c>
      <c r="C13" t="str">
        <f>Data!C13</f>
        <v>Category C</v>
      </c>
      <c r="D13" t="str">
        <f>Data!G13</f>
        <v>Supplier X</v>
      </c>
      <c r="E13" s="2">
        <f>Data!D13</f>
        <v>117</v>
      </c>
      <c r="F13" s="2">
        <f>Data!E13</f>
        <v>118</v>
      </c>
      <c r="G13" s="8">
        <f>Data!L13</f>
        <v>41230.800000000003</v>
      </c>
      <c r="H13" t="str">
        <f>Data!K13</f>
        <v>Below Reorder</v>
      </c>
      <c r="I13" s="22">
        <f t="shared" si="0"/>
        <v>1</v>
      </c>
      <c r="J13" s="22" t="str">
        <f t="shared" si="1"/>
        <v>High Risk</v>
      </c>
      <c r="L13" s="6" t="s">
        <v>477</v>
      </c>
      <c r="M13" t="s">
        <v>34</v>
      </c>
      <c r="N13" t="s">
        <v>24</v>
      </c>
      <c r="O13" t="s">
        <v>17</v>
      </c>
      <c r="P13" t="s">
        <v>478</v>
      </c>
    </row>
    <row r="14" spans="1:16" x14ac:dyDescent="0.3">
      <c r="A14" t="str">
        <f>Data!A14</f>
        <v>ELE0013</v>
      </c>
      <c r="B14" t="str">
        <f>Data!B14</f>
        <v>Electronics Item 13</v>
      </c>
      <c r="C14" t="str">
        <f>Data!C14</f>
        <v>Category A</v>
      </c>
      <c r="D14" t="str">
        <f>Data!G14</f>
        <v>Supplier Y</v>
      </c>
      <c r="E14" s="2">
        <f>Data!D14</f>
        <v>335</v>
      </c>
      <c r="F14" s="2">
        <f>Data!E14</f>
        <v>93</v>
      </c>
      <c r="G14" s="8">
        <f>Data!L14</f>
        <v>90249</v>
      </c>
      <c r="H14" t="str">
        <f>Data!K14</f>
        <v>Sufficient</v>
      </c>
      <c r="I14" s="22">
        <f t="shared" si="0"/>
        <v>0</v>
      </c>
      <c r="J14" s="22" t="str">
        <f t="shared" si="1"/>
        <v>Low Risk</v>
      </c>
      <c r="L14" s="7" t="s">
        <v>23</v>
      </c>
      <c r="M14" s="5">
        <v>2085351.1099999999</v>
      </c>
      <c r="N14" s="5">
        <v>1538783.67</v>
      </c>
      <c r="O14" s="5">
        <v>1131103.6799999997</v>
      </c>
      <c r="P14" s="5">
        <v>4755238.459999999</v>
      </c>
    </row>
    <row r="15" spans="1:16" x14ac:dyDescent="0.3">
      <c r="A15" t="str">
        <f>Data!A15</f>
        <v>ELE0014</v>
      </c>
      <c r="B15" t="str">
        <f>Data!B15</f>
        <v>Electronics Item 14</v>
      </c>
      <c r="C15" t="str">
        <f>Data!C15</f>
        <v>Category A</v>
      </c>
      <c r="D15" t="str">
        <f>Data!G15</f>
        <v>Supplier X</v>
      </c>
      <c r="E15" s="2">
        <f>Data!D15</f>
        <v>148</v>
      </c>
      <c r="F15" s="2">
        <f>Data!E15</f>
        <v>192</v>
      </c>
      <c r="G15" s="8">
        <f>Data!L15</f>
        <v>16829.080000000002</v>
      </c>
      <c r="H15" t="str">
        <f>Data!K15</f>
        <v>Below Reorder</v>
      </c>
      <c r="I15" s="22">
        <f t="shared" si="0"/>
        <v>23</v>
      </c>
      <c r="J15" s="22" t="str">
        <f t="shared" si="1"/>
        <v>High Risk</v>
      </c>
      <c r="L15" s="7" t="s">
        <v>42</v>
      </c>
      <c r="M15" s="5">
        <v>1334678.8499999999</v>
      </c>
      <c r="N15" s="5">
        <v>1309073.9899999998</v>
      </c>
      <c r="O15" s="5">
        <v>1260217.9699999997</v>
      </c>
      <c r="P15" s="5">
        <v>3903970.8099999996</v>
      </c>
    </row>
    <row r="16" spans="1:16" x14ac:dyDescent="0.3">
      <c r="A16" t="str">
        <f>Data!A16</f>
        <v>ELE0015</v>
      </c>
      <c r="B16" t="str">
        <f>Data!B16</f>
        <v>Electronics Item 15</v>
      </c>
      <c r="C16" t="str">
        <f>Data!C16</f>
        <v>Category A</v>
      </c>
      <c r="D16" t="str">
        <f>Data!G16</f>
        <v>Supplier Z</v>
      </c>
      <c r="E16" s="2">
        <f>Data!D16</f>
        <v>422</v>
      </c>
      <c r="F16" s="2">
        <f>Data!E16</f>
        <v>130</v>
      </c>
      <c r="G16" s="8">
        <f>Data!L16</f>
        <v>85910.76</v>
      </c>
      <c r="H16" t="str">
        <f>Data!K16</f>
        <v>Sufficient</v>
      </c>
      <c r="I16" s="22">
        <f t="shared" si="0"/>
        <v>0</v>
      </c>
      <c r="J16" s="22" t="str">
        <f t="shared" si="1"/>
        <v>Low Risk</v>
      </c>
      <c r="L16" s="7" t="s">
        <v>16</v>
      </c>
      <c r="M16" s="5">
        <v>1599657.64</v>
      </c>
      <c r="N16" s="5">
        <v>916312.25</v>
      </c>
      <c r="O16" s="5">
        <v>1199330.27</v>
      </c>
      <c r="P16" s="5">
        <v>3715300.1599999997</v>
      </c>
    </row>
    <row r="17" spans="1:16" x14ac:dyDescent="0.3">
      <c r="A17" t="str">
        <f>Data!A17</f>
        <v>ELE0016</v>
      </c>
      <c r="B17" t="str">
        <f>Data!B17</f>
        <v>Electronics Item 16</v>
      </c>
      <c r="C17" t="str">
        <f>Data!C17</f>
        <v>Category C</v>
      </c>
      <c r="D17" t="str">
        <f>Data!G17</f>
        <v>Supplier Y</v>
      </c>
      <c r="E17" s="2">
        <f>Data!D17</f>
        <v>171</v>
      </c>
      <c r="F17" s="2">
        <f>Data!E17</f>
        <v>104</v>
      </c>
      <c r="G17" s="8">
        <f>Data!L17</f>
        <v>56334.239999999998</v>
      </c>
      <c r="H17" t="str">
        <f>Data!K17</f>
        <v>Sufficient</v>
      </c>
      <c r="I17" s="22">
        <f t="shared" si="0"/>
        <v>0</v>
      </c>
      <c r="J17" s="22" t="str">
        <f t="shared" si="1"/>
        <v>Low Risk</v>
      </c>
      <c r="L17" s="7" t="s">
        <v>478</v>
      </c>
      <c r="M17" s="5">
        <v>5019687.5999999996</v>
      </c>
      <c r="N17" s="5">
        <v>3764169.9099999997</v>
      </c>
      <c r="O17" s="5">
        <v>3590651.9199999995</v>
      </c>
      <c r="P17" s="5">
        <v>12374509.43</v>
      </c>
    </row>
    <row r="18" spans="1:16" x14ac:dyDescent="0.3">
      <c r="A18" t="str">
        <f>Data!A18</f>
        <v>ELE0017</v>
      </c>
      <c r="B18" t="str">
        <f>Data!B18</f>
        <v>Electronics Item 17</v>
      </c>
      <c r="C18" t="str">
        <f>Data!C18</f>
        <v>Category C</v>
      </c>
      <c r="D18" t="str">
        <f>Data!G18</f>
        <v>Supplier Y</v>
      </c>
      <c r="E18" s="2">
        <f>Data!D18</f>
        <v>145</v>
      </c>
      <c r="F18" s="2">
        <f>Data!E18</f>
        <v>85</v>
      </c>
      <c r="G18" s="8">
        <f>Data!L18</f>
        <v>18426.599999999999</v>
      </c>
      <c r="H18" t="str">
        <f>Data!K18</f>
        <v>Sufficient</v>
      </c>
      <c r="I18" s="22">
        <f t="shared" si="0"/>
        <v>0</v>
      </c>
      <c r="J18" s="22" t="str">
        <f t="shared" si="1"/>
        <v>Low Risk</v>
      </c>
    </row>
    <row r="19" spans="1:16" x14ac:dyDescent="0.3">
      <c r="A19" t="str">
        <f>Data!A19</f>
        <v>ELE0018</v>
      </c>
      <c r="B19" t="str">
        <f>Data!B19</f>
        <v>Electronics Item 18</v>
      </c>
      <c r="C19" t="str">
        <f>Data!C19</f>
        <v>Category B</v>
      </c>
      <c r="D19" t="str">
        <f>Data!G19</f>
        <v>Supplier X</v>
      </c>
      <c r="E19" s="2">
        <f>Data!D19</f>
        <v>309</v>
      </c>
      <c r="F19" s="2">
        <f>Data!E19</f>
        <v>159</v>
      </c>
      <c r="G19" s="8">
        <f>Data!L19</f>
        <v>138870.78</v>
      </c>
      <c r="H19" t="str">
        <f>Data!K19</f>
        <v>Sufficient</v>
      </c>
      <c r="I19" s="22">
        <f t="shared" si="0"/>
        <v>0</v>
      </c>
      <c r="J19" s="22" t="str">
        <f t="shared" si="1"/>
        <v>Low Risk</v>
      </c>
    </row>
    <row r="20" spans="1:16" x14ac:dyDescent="0.3">
      <c r="A20" t="str">
        <f>Data!A20</f>
        <v>ELE0019</v>
      </c>
      <c r="B20" t="str">
        <f>Data!B20</f>
        <v>Electronics Item 19</v>
      </c>
      <c r="C20" t="str">
        <f>Data!C20</f>
        <v>Category A</v>
      </c>
      <c r="D20" t="str">
        <f>Data!G20</f>
        <v>Supplier X</v>
      </c>
      <c r="E20" s="2">
        <f>Data!D20</f>
        <v>270</v>
      </c>
      <c r="F20" s="2">
        <f>Data!E20</f>
        <v>176</v>
      </c>
      <c r="G20" s="8">
        <f>Data!L20</f>
        <v>13500</v>
      </c>
      <c r="H20" t="str">
        <f>Data!K20</f>
        <v>Sufficient</v>
      </c>
      <c r="I20" s="22">
        <f t="shared" si="0"/>
        <v>0</v>
      </c>
      <c r="J20" s="22" t="str">
        <f t="shared" si="1"/>
        <v>Low Risk</v>
      </c>
    </row>
    <row r="21" spans="1:16" x14ac:dyDescent="0.3">
      <c r="A21" t="str">
        <f>Data!A21</f>
        <v>ELE0020</v>
      </c>
      <c r="B21" t="str">
        <f>Data!B21</f>
        <v>Electronics Item 20</v>
      </c>
      <c r="C21" t="str">
        <f>Data!C21</f>
        <v>Category B</v>
      </c>
      <c r="D21" t="str">
        <f>Data!G21</f>
        <v>Supplier Z</v>
      </c>
      <c r="E21" s="2">
        <f>Data!D21</f>
        <v>91</v>
      </c>
      <c r="F21" s="2">
        <f>Data!E21</f>
        <v>158</v>
      </c>
      <c r="G21" s="8">
        <f>Data!L21</f>
        <v>27320.02</v>
      </c>
      <c r="H21" t="str">
        <f>Data!K21</f>
        <v>Below Reorder</v>
      </c>
      <c r="I21" s="22">
        <f t="shared" si="0"/>
        <v>42</v>
      </c>
      <c r="J21" s="22" t="str">
        <f t="shared" si="1"/>
        <v>High Risk</v>
      </c>
      <c r="M21" t="s">
        <v>502</v>
      </c>
    </row>
    <row r="22" spans="1:16" x14ac:dyDescent="0.3">
      <c r="A22" t="str">
        <f>Data!A22</f>
        <v>ELE0021</v>
      </c>
      <c r="B22" t="str">
        <f>Data!B22</f>
        <v>Electronics Item 21</v>
      </c>
      <c r="C22" t="str">
        <f>Data!C22</f>
        <v>Category A</v>
      </c>
      <c r="D22" t="str">
        <f>Data!G22</f>
        <v>Supplier Z</v>
      </c>
      <c r="E22" s="2">
        <f>Data!D22</f>
        <v>280</v>
      </c>
      <c r="F22" s="2">
        <f>Data!E22</f>
        <v>114</v>
      </c>
      <c r="G22" s="8">
        <f>Data!L22</f>
        <v>135990.39999999999</v>
      </c>
      <c r="H22" t="str">
        <f>Data!K22</f>
        <v>Sufficient</v>
      </c>
      <c r="I22" s="22">
        <f t="shared" si="0"/>
        <v>0</v>
      </c>
      <c r="J22" s="22" t="str">
        <f t="shared" si="1"/>
        <v>Low Risk</v>
      </c>
    </row>
    <row r="23" spans="1:16" x14ac:dyDescent="0.3">
      <c r="A23" t="str">
        <f>Data!A23</f>
        <v>ELE0022</v>
      </c>
      <c r="B23" t="str">
        <f>Data!B23</f>
        <v>Electronics Item 22</v>
      </c>
      <c r="C23" t="str">
        <f>Data!C23</f>
        <v>Category C</v>
      </c>
      <c r="D23" t="str">
        <f>Data!G23</f>
        <v>Supplier Y</v>
      </c>
      <c r="E23" s="2">
        <f>Data!D23</f>
        <v>68</v>
      </c>
      <c r="F23" s="2">
        <f>Data!E23</f>
        <v>187</v>
      </c>
      <c r="G23" s="8">
        <f>Data!L23</f>
        <v>25614.240000000002</v>
      </c>
      <c r="H23" t="str">
        <f>Data!K23</f>
        <v>Below Reorder</v>
      </c>
      <c r="I23" s="22">
        <f t="shared" si="0"/>
        <v>64</v>
      </c>
      <c r="J23" s="22" t="str">
        <f t="shared" si="1"/>
        <v>High Risk</v>
      </c>
      <c r="L23" s="6" t="s">
        <v>500</v>
      </c>
      <c r="M23" s="6" t="s">
        <v>493</v>
      </c>
    </row>
    <row r="24" spans="1:16" x14ac:dyDescent="0.3">
      <c r="A24" t="str">
        <f>Data!A24</f>
        <v>ELE0023</v>
      </c>
      <c r="B24" t="str">
        <f>Data!B24</f>
        <v>Electronics Item 23</v>
      </c>
      <c r="C24" t="str">
        <f>Data!C24</f>
        <v>Category C</v>
      </c>
      <c r="D24" t="str">
        <f>Data!G24</f>
        <v>Supplier Z</v>
      </c>
      <c r="E24" s="2">
        <f>Data!D24</f>
        <v>160</v>
      </c>
      <c r="F24" s="2">
        <f>Data!E24</f>
        <v>161</v>
      </c>
      <c r="G24" s="8">
        <f>Data!L24</f>
        <v>13326.4</v>
      </c>
      <c r="H24" t="str">
        <f>Data!K24</f>
        <v>Below Reorder</v>
      </c>
      <c r="I24" s="22">
        <f t="shared" si="0"/>
        <v>1</v>
      </c>
      <c r="J24" s="22" t="str">
        <f t="shared" si="1"/>
        <v>High Risk</v>
      </c>
      <c r="L24" s="6" t="s">
        <v>477</v>
      </c>
      <c r="M24" t="s">
        <v>23</v>
      </c>
      <c r="N24" t="s">
        <v>42</v>
      </c>
      <c r="O24" t="s">
        <v>16</v>
      </c>
      <c r="P24" t="s">
        <v>478</v>
      </c>
    </row>
    <row r="25" spans="1:16" x14ac:dyDescent="0.3">
      <c r="A25" t="str">
        <f>Data!A25</f>
        <v>ELE0024</v>
      </c>
      <c r="B25" t="str">
        <f>Data!B25</f>
        <v>Electronics Item 24</v>
      </c>
      <c r="C25" t="str">
        <f>Data!C25</f>
        <v>Category C</v>
      </c>
      <c r="D25" t="str">
        <f>Data!G25</f>
        <v>Supplier Y</v>
      </c>
      <c r="E25" s="2">
        <f>Data!D25</f>
        <v>266</v>
      </c>
      <c r="F25" s="2">
        <f>Data!E25</f>
        <v>95</v>
      </c>
      <c r="G25" s="8">
        <f>Data!L25</f>
        <v>68175.8</v>
      </c>
      <c r="H25" t="str">
        <f>Data!K25</f>
        <v>Sufficient</v>
      </c>
      <c r="I25" s="22">
        <f t="shared" si="0"/>
        <v>0</v>
      </c>
      <c r="J25" s="22" t="str">
        <f t="shared" si="1"/>
        <v>Low Risk</v>
      </c>
      <c r="L25" s="7" t="s">
        <v>19</v>
      </c>
      <c r="M25" s="5">
        <v>360742.75</v>
      </c>
      <c r="N25" s="5">
        <v>191371.6</v>
      </c>
      <c r="O25" s="5">
        <v>478511.62</v>
      </c>
      <c r="P25" s="5">
        <v>1030625.97</v>
      </c>
    </row>
    <row r="26" spans="1:16" x14ac:dyDescent="0.3">
      <c r="A26" t="str">
        <f>Data!A26</f>
        <v>ELE0025</v>
      </c>
      <c r="B26" t="str">
        <f>Data!B26</f>
        <v>Electronics Item 25</v>
      </c>
      <c r="C26" t="str">
        <f>Data!C26</f>
        <v>Category A</v>
      </c>
      <c r="D26" t="str">
        <f>Data!G26</f>
        <v>Supplier Z</v>
      </c>
      <c r="E26" s="2">
        <f>Data!D26</f>
        <v>269</v>
      </c>
      <c r="F26" s="2">
        <f>Data!E26</f>
        <v>100</v>
      </c>
      <c r="G26" s="8">
        <f>Data!L26</f>
        <v>21697.54</v>
      </c>
      <c r="H26" t="str">
        <f>Data!K26</f>
        <v>Sufficient</v>
      </c>
      <c r="I26" s="22">
        <f t="shared" si="0"/>
        <v>0</v>
      </c>
      <c r="J26" s="22" t="str">
        <f t="shared" si="1"/>
        <v>Low Risk</v>
      </c>
      <c r="L26" s="7" t="s">
        <v>26</v>
      </c>
      <c r="M26" s="5">
        <v>4394495.709999999</v>
      </c>
      <c r="N26" s="5">
        <v>3712599.2100000004</v>
      </c>
      <c r="O26" s="5">
        <v>3236788.5400000005</v>
      </c>
      <c r="P26" s="5">
        <v>11343883.460000001</v>
      </c>
    </row>
    <row r="27" spans="1:16" x14ac:dyDescent="0.3">
      <c r="A27" t="str">
        <f>Data!A27</f>
        <v>ELE0026</v>
      </c>
      <c r="B27" t="str">
        <f>Data!B27</f>
        <v>Electronics Item 26</v>
      </c>
      <c r="C27" t="str">
        <f>Data!C27</f>
        <v>Category A</v>
      </c>
      <c r="D27" t="str">
        <f>Data!G27</f>
        <v>Supplier X</v>
      </c>
      <c r="E27" s="2">
        <f>Data!D27</f>
        <v>480</v>
      </c>
      <c r="F27" s="2">
        <f>Data!E27</f>
        <v>50</v>
      </c>
      <c r="G27" s="8">
        <f>Data!L27</f>
        <v>144710.39999999999</v>
      </c>
      <c r="H27" t="str">
        <f>Data!K27</f>
        <v>Sufficient</v>
      </c>
      <c r="I27" s="22">
        <f t="shared" si="0"/>
        <v>0</v>
      </c>
      <c r="J27" s="22" t="str">
        <f t="shared" si="1"/>
        <v>Low Risk</v>
      </c>
      <c r="L27" s="7" t="s">
        <v>478</v>
      </c>
      <c r="M27" s="5">
        <v>4755238.459999999</v>
      </c>
      <c r="N27" s="5">
        <v>3903970.8100000005</v>
      </c>
      <c r="O27" s="5">
        <v>3715300.1600000006</v>
      </c>
      <c r="P27" s="5">
        <v>12374509.430000002</v>
      </c>
    </row>
    <row r="28" spans="1:16" x14ac:dyDescent="0.3">
      <c r="A28" t="str">
        <f>Data!A28</f>
        <v>ELE0027</v>
      </c>
      <c r="B28" t="str">
        <f>Data!B28</f>
        <v>Electronics Item 27</v>
      </c>
      <c r="C28" t="str">
        <f>Data!C28</f>
        <v>Category C</v>
      </c>
      <c r="D28" t="str">
        <f>Data!G28</f>
        <v>Supplier X</v>
      </c>
      <c r="E28" s="2">
        <f>Data!D28</f>
        <v>459</v>
      </c>
      <c r="F28" s="2">
        <f>Data!E28</f>
        <v>128</v>
      </c>
      <c r="G28" s="8">
        <f>Data!L28</f>
        <v>56700.27</v>
      </c>
      <c r="H28" t="str">
        <f>Data!K28</f>
        <v>Sufficient</v>
      </c>
      <c r="I28" s="22">
        <f t="shared" si="0"/>
        <v>0</v>
      </c>
      <c r="J28" s="22" t="str">
        <f t="shared" si="1"/>
        <v>Low Risk</v>
      </c>
    </row>
    <row r="29" spans="1:16" x14ac:dyDescent="0.3">
      <c r="A29" t="str">
        <f>Data!A29</f>
        <v>ELE0028</v>
      </c>
      <c r="B29" t="str">
        <f>Data!B29</f>
        <v>Electronics Item 28</v>
      </c>
      <c r="C29" t="str">
        <f>Data!C29</f>
        <v>Category C</v>
      </c>
      <c r="D29" t="str">
        <f>Data!G29</f>
        <v>Supplier X</v>
      </c>
      <c r="E29" s="2">
        <f>Data!D29</f>
        <v>384</v>
      </c>
      <c r="F29" s="2">
        <f>Data!E29</f>
        <v>174</v>
      </c>
      <c r="G29" s="8">
        <f>Data!L29</f>
        <v>157029.12</v>
      </c>
      <c r="H29" t="str">
        <f>Data!K29</f>
        <v>Sufficient</v>
      </c>
      <c r="I29" s="22">
        <f t="shared" si="0"/>
        <v>0</v>
      </c>
      <c r="J29" s="22" t="str">
        <f t="shared" si="1"/>
        <v>Low Risk</v>
      </c>
    </row>
    <row r="30" spans="1:16" x14ac:dyDescent="0.3">
      <c r="A30" t="str">
        <f>Data!A30</f>
        <v>ELE0029</v>
      </c>
      <c r="B30" t="str">
        <f>Data!B30</f>
        <v>Electronics Item 29</v>
      </c>
      <c r="C30" t="str">
        <f>Data!C30</f>
        <v>Category B</v>
      </c>
      <c r="D30" t="str">
        <f>Data!G30</f>
        <v>Supplier Z</v>
      </c>
      <c r="E30" s="2">
        <f>Data!D30</f>
        <v>347</v>
      </c>
      <c r="F30" s="2">
        <f>Data!E30</f>
        <v>171</v>
      </c>
      <c r="G30" s="8">
        <f>Data!L30</f>
        <v>164370.43</v>
      </c>
      <c r="H30" t="str">
        <f>Data!K30</f>
        <v>Sufficient</v>
      </c>
      <c r="I30" s="22">
        <f t="shared" si="0"/>
        <v>0</v>
      </c>
      <c r="J30" s="22" t="str">
        <f t="shared" si="1"/>
        <v>Low Risk</v>
      </c>
    </row>
    <row r="31" spans="1:16" x14ac:dyDescent="0.3">
      <c r="A31" t="str">
        <f>Data!A31</f>
        <v>ELE0030</v>
      </c>
      <c r="B31" t="str">
        <f>Data!B31</f>
        <v>Electronics Item 30</v>
      </c>
      <c r="C31" t="str">
        <f>Data!C31</f>
        <v>Category C</v>
      </c>
      <c r="D31" t="str">
        <f>Data!G31</f>
        <v>Supplier Z</v>
      </c>
      <c r="E31" s="2">
        <f>Data!D31</f>
        <v>226</v>
      </c>
      <c r="F31" s="2">
        <f>Data!E31</f>
        <v>104</v>
      </c>
      <c r="G31" s="8">
        <f>Data!L31</f>
        <v>105047.06</v>
      </c>
      <c r="H31" t="str">
        <f>Data!K31</f>
        <v>Sufficient</v>
      </c>
      <c r="I31" s="22">
        <f t="shared" si="0"/>
        <v>0</v>
      </c>
      <c r="J31" s="22" t="str">
        <f t="shared" si="1"/>
        <v>Low Risk</v>
      </c>
    </row>
    <row r="32" spans="1:16" x14ac:dyDescent="0.3">
      <c r="A32" t="str">
        <f>Data!A32</f>
        <v>ELE0031</v>
      </c>
      <c r="B32" t="str">
        <f>Data!B32</f>
        <v>Electronics Item 31</v>
      </c>
      <c r="C32" t="str">
        <f>Data!C32</f>
        <v>Category C</v>
      </c>
      <c r="D32" t="str">
        <f>Data!G32</f>
        <v>Supplier Y</v>
      </c>
      <c r="E32" s="2">
        <f>Data!D32</f>
        <v>375</v>
      </c>
      <c r="F32" s="2">
        <f>Data!E32</f>
        <v>129</v>
      </c>
      <c r="G32" s="8">
        <f>Data!L32</f>
        <v>75937.5</v>
      </c>
      <c r="H32" t="str">
        <f>Data!K32</f>
        <v>Sufficient</v>
      </c>
      <c r="I32" s="22">
        <f t="shared" si="0"/>
        <v>0</v>
      </c>
      <c r="J32" s="22" t="str">
        <f t="shared" si="1"/>
        <v>Low Risk</v>
      </c>
    </row>
    <row r="33" spans="1:10" x14ac:dyDescent="0.3">
      <c r="A33" t="str">
        <f>Data!A33</f>
        <v>ELE0032</v>
      </c>
      <c r="B33" t="str">
        <f>Data!B33</f>
        <v>Electronics Item 32</v>
      </c>
      <c r="C33" t="str">
        <f>Data!C33</f>
        <v>Category A</v>
      </c>
      <c r="D33" t="str">
        <f>Data!G33</f>
        <v>Supplier X</v>
      </c>
      <c r="E33" s="2">
        <f>Data!D33</f>
        <v>470</v>
      </c>
      <c r="F33" s="2">
        <f>Data!E33</f>
        <v>182</v>
      </c>
      <c r="G33" s="8">
        <f>Data!L33</f>
        <v>107390.3</v>
      </c>
      <c r="H33" t="str">
        <f>Data!K33</f>
        <v>Sufficient</v>
      </c>
      <c r="I33" s="22">
        <f t="shared" si="0"/>
        <v>0</v>
      </c>
      <c r="J33" s="22" t="str">
        <f t="shared" si="1"/>
        <v>Low Risk</v>
      </c>
    </row>
    <row r="34" spans="1:10" x14ac:dyDescent="0.3">
      <c r="A34" t="str">
        <f>Data!A34</f>
        <v>ELE0033</v>
      </c>
      <c r="B34" t="str">
        <f>Data!B34</f>
        <v>Electronics Item 33</v>
      </c>
      <c r="C34" t="str">
        <f>Data!C34</f>
        <v>Category A</v>
      </c>
      <c r="D34" t="str">
        <f>Data!G34</f>
        <v>Supplier X</v>
      </c>
      <c r="E34" s="2">
        <f>Data!D34</f>
        <v>20</v>
      </c>
      <c r="F34" s="2">
        <f>Data!E34</f>
        <v>200</v>
      </c>
      <c r="G34" s="8">
        <f>Data!L34</f>
        <v>5583.8</v>
      </c>
      <c r="H34" t="str">
        <f>Data!K34</f>
        <v>Below Reorder</v>
      </c>
      <c r="I34" s="22">
        <f t="shared" si="0"/>
        <v>90</v>
      </c>
      <c r="J34" s="22" t="str">
        <f t="shared" si="1"/>
        <v>High Risk</v>
      </c>
    </row>
    <row r="35" spans="1:10" x14ac:dyDescent="0.3">
      <c r="A35" t="str">
        <f>Data!A35</f>
        <v>ELE0034</v>
      </c>
      <c r="B35" t="str">
        <f>Data!B35</f>
        <v>Electronics Item 34</v>
      </c>
      <c r="C35" t="str">
        <f>Data!C35</f>
        <v>Category A</v>
      </c>
      <c r="D35" t="str">
        <f>Data!G35</f>
        <v>Supplier Y</v>
      </c>
      <c r="E35" s="2">
        <f>Data!D35</f>
        <v>372</v>
      </c>
      <c r="F35" s="2">
        <f>Data!E35</f>
        <v>65</v>
      </c>
      <c r="G35" s="8">
        <f>Data!L35</f>
        <v>44018.76</v>
      </c>
      <c r="H35" t="str">
        <f>Data!K35</f>
        <v>Sufficient</v>
      </c>
      <c r="I35" s="22">
        <f t="shared" si="0"/>
        <v>0</v>
      </c>
      <c r="J35" s="22" t="str">
        <f t="shared" si="1"/>
        <v>Low Risk</v>
      </c>
    </row>
    <row r="36" spans="1:10" x14ac:dyDescent="0.3">
      <c r="A36" t="str">
        <f>Data!A36</f>
        <v>ELE0035</v>
      </c>
      <c r="B36" t="str">
        <f>Data!B36</f>
        <v>Electronics Item 35</v>
      </c>
      <c r="C36" t="str">
        <f>Data!C36</f>
        <v>Category A</v>
      </c>
      <c r="D36" t="str">
        <f>Data!G36</f>
        <v>Supplier Z</v>
      </c>
      <c r="E36" s="2">
        <f>Data!D36</f>
        <v>273</v>
      </c>
      <c r="F36" s="2">
        <f>Data!E36</f>
        <v>110</v>
      </c>
      <c r="G36" s="8">
        <f>Data!L36</f>
        <v>38998.050000000003</v>
      </c>
      <c r="H36" t="str">
        <f>Data!K36</f>
        <v>Sufficient</v>
      </c>
      <c r="I36" s="22">
        <f t="shared" si="0"/>
        <v>0</v>
      </c>
      <c r="J36" s="22" t="str">
        <f t="shared" si="1"/>
        <v>Low Risk</v>
      </c>
    </row>
    <row r="37" spans="1:10" x14ac:dyDescent="0.3">
      <c r="A37" t="str">
        <f>Data!A37</f>
        <v>ELE0036</v>
      </c>
      <c r="B37" t="str">
        <f>Data!B37</f>
        <v>Electronics Item 36</v>
      </c>
      <c r="C37" t="str">
        <f>Data!C37</f>
        <v>Category B</v>
      </c>
      <c r="D37" t="str">
        <f>Data!G37</f>
        <v>Supplier Y</v>
      </c>
      <c r="E37" s="2">
        <f>Data!D37</f>
        <v>380</v>
      </c>
      <c r="F37" s="2">
        <f>Data!E37</f>
        <v>196</v>
      </c>
      <c r="G37" s="8">
        <f>Data!L37</f>
        <v>110283.6</v>
      </c>
      <c r="H37" t="str">
        <f>Data!K37</f>
        <v>Sufficient</v>
      </c>
      <c r="I37" s="22">
        <f t="shared" si="0"/>
        <v>0</v>
      </c>
      <c r="J37" s="22" t="str">
        <f t="shared" si="1"/>
        <v>Low Risk</v>
      </c>
    </row>
    <row r="38" spans="1:10" x14ac:dyDescent="0.3">
      <c r="A38" t="str">
        <f>Data!A38</f>
        <v>ELE0037</v>
      </c>
      <c r="B38" t="str">
        <f>Data!B38</f>
        <v>Electronics Item 37</v>
      </c>
      <c r="C38" t="str">
        <f>Data!C38</f>
        <v>Category B</v>
      </c>
      <c r="D38" t="str">
        <f>Data!G38</f>
        <v>Supplier Y</v>
      </c>
      <c r="E38" s="2">
        <f>Data!D38</f>
        <v>58</v>
      </c>
      <c r="F38" s="2">
        <f>Data!E38</f>
        <v>74</v>
      </c>
      <c r="G38" s="8">
        <f>Data!L38</f>
        <v>19209.599999999999</v>
      </c>
      <c r="H38" t="str">
        <f>Data!K38</f>
        <v>Below Reorder</v>
      </c>
      <c r="I38" s="22">
        <f t="shared" si="0"/>
        <v>22</v>
      </c>
      <c r="J38" s="22" t="str">
        <f t="shared" si="1"/>
        <v>High Risk</v>
      </c>
    </row>
    <row r="39" spans="1:10" x14ac:dyDescent="0.3">
      <c r="A39" t="str">
        <f>Data!A39</f>
        <v>ELE0038</v>
      </c>
      <c r="B39" t="str">
        <f>Data!B39</f>
        <v>Electronics Item 38</v>
      </c>
      <c r="C39" t="str">
        <f>Data!C39</f>
        <v>Category A</v>
      </c>
      <c r="D39" t="str">
        <f>Data!G39</f>
        <v>Supplier X</v>
      </c>
      <c r="E39" s="2">
        <f>Data!D39</f>
        <v>452</v>
      </c>
      <c r="F39" s="2">
        <f>Data!E39</f>
        <v>63</v>
      </c>
      <c r="G39" s="8">
        <f>Data!L39</f>
        <v>152920.64000000001</v>
      </c>
      <c r="H39" t="str">
        <f>Data!K39</f>
        <v>Sufficient</v>
      </c>
      <c r="I39" s="22">
        <f t="shared" si="0"/>
        <v>0</v>
      </c>
      <c r="J39" s="22" t="str">
        <f t="shared" si="1"/>
        <v>Low Risk</v>
      </c>
    </row>
    <row r="40" spans="1:10" x14ac:dyDescent="0.3">
      <c r="A40" t="str">
        <f>Data!A40</f>
        <v>ELE0039</v>
      </c>
      <c r="B40" t="str">
        <f>Data!B40</f>
        <v>Electronics Item 39</v>
      </c>
      <c r="C40" t="str">
        <f>Data!C40</f>
        <v>Category A</v>
      </c>
      <c r="D40" t="str">
        <f>Data!G40</f>
        <v>Supplier X</v>
      </c>
      <c r="E40" s="2">
        <f>Data!D40</f>
        <v>382</v>
      </c>
      <c r="F40" s="2">
        <f>Data!E40</f>
        <v>136</v>
      </c>
      <c r="G40" s="8">
        <f>Data!L40</f>
        <v>153292.78</v>
      </c>
      <c r="H40" t="str">
        <f>Data!K40</f>
        <v>Sufficient</v>
      </c>
      <c r="I40" s="22">
        <f t="shared" si="0"/>
        <v>0</v>
      </c>
      <c r="J40" s="22" t="str">
        <f t="shared" si="1"/>
        <v>Low Risk</v>
      </c>
    </row>
    <row r="41" spans="1:10" x14ac:dyDescent="0.3">
      <c r="A41" t="str">
        <f>Data!A41</f>
        <v>ELE0040</v>
      </c>
      <c r="B41" t="str">
        <f>Data!B41</f>
        <v>Electronics Item 40</v>
      </c>
      <c r="C41" t="str">
        <f>Data!C41</f>
        <v>Category B</v>
      </c>
      <c r="D41" t="str">
        <f>Data!G41</f>
        <v>Supplier Y</v>
      </c>
      <c r="E41" s="2">
        <f>Data!D41</f>
        <v>284</v>
      </c>
      <c r="F41" s="2">
        <f>Data!E41</f>
        <v>164</v>
      </c>
      <c r="G41" s="8">
        <f>Data!L41</f>
        <v>21126.76</v>
      </c>
      <c r="H41" t="str">
        <f>Data!K41</f>
        <v>Sufficient</v>
      </c>
      <c r="I41" s="22">
        <f t="shared" si="0"/>
        <v>0</v>
      </c>
      <c r="J41" s="22" t="str">
        <f t="shared" si="1"/>
        <v>Low Risk</v>
      </c>
    </row>
    <row r="42" spans="1:10" x14ac:dyDescent="0.3">
      <c r="A42" t="str">
        <f>Data!A42</f>
        <v>ELE0041</v>
      </c>
      <c r="B42" t="str">
        <f>Data!B42</f>
        <v>Electronics Item 41</v>
      </c>
      <c r="C42" t="str">
        <f>Data!C42</f>
        <v>Category C</v>
      </c>
      <c r="D42" t="str">
        <f>Data!G42</f>
        <v>Supplier X</v>
      </c>
      <c r="E42" s="2">
        <f>Data!D42</f>
        <v>457</v>
      </c>
      <c r="F42" s="2">
        <f>Data!E42</f>
        <v>69</v>
      </c>
      <c r="G42" s="8">
        <f>Data!L42</f>
        <v>102527.95</v>
      </c>
      <c r="H42" t="str">
        <f>Data!K42</f>
        <v>Sufficient</v>
      </c>
      <c r="I42" s="22">
        <f t="shared" si="0"/>
        <v>0</v>
      </c>
      <c r="J42" s="22" t="str">
        <f t="shared" si="1"/>
        <v>Low Risk</v>
      </c>
    </row>
    <row r="43" spans="1:10" x14ac:dyDescent="0.3">
      <c r="A43" t="str">
        <f>Data!A43</f>
        <v>ELE0042</v>
      </c>
      <c r="B43" t="str">
        <f>Data!B43</f>
        <v>Electronics Item 42</v>
      </c>
      <c r="C43" t="str">
        <f>Data!C43</f>
        <v>Category A</v>
      </c>
      <c r="D43" t="str">
        <f>Data!G43</f>
        <v>Supplier X</v>
      </c>
      <c r="E43" s="2">
        <f>Data!D43</f>
        <v>343</v>
      </c>
      <c r="F43" s="2">
        <f>Data!E43</f>
        <v>188</v>
      </c>
      <c r="G43" s="8">
        <f>Data!L43</f>
        <v>143658.69</v>
      </c>
      <c r="H43" t="str">
        <f>Data!K43</f>
        <v>Sufficient</v>
      </c>
      <c r="I43" s="22">
        <f t="shared" si="0"/>
        <v>0</v>
      </c>
      <c r="J43" s="22" t="str">
        <f t="shared" si="1"/>
        <v>Low Risk</v>
      </c>
    </row>
    <row r="44" spans="1:10" x14ac:dyDescent="0.3">
      <c r="A44" t="str">
        <f>Data!A44</f>
        <v>ELE0043</v>
      </c>
      <c r="B44" t="str">
        <f>Data!B44</f>
        <v>Electronics Item 43</v>
      </c>
      <c r="C44" t="str">
        <f>Data!C44</f>
        <v>Category A</v>
      </c>
      <c r="D44" t="str">
        <f>Data!G44</f>
        <v>Supplier X</v>
      </c>
      <c r="E44" s="2">
        <f>Data!D44</f>
        <v>258</v>
      </c>
      <c r="F44" s="2">
        <f>Data!E44</f>
        <v>173</v>
      </c>
      <c r="G44" s="8">
        <f>Data!L44</f>
        <v>28586.400000000001</v>
      </c>
      <c r="H44" t="str">
        <f>Data!K44</f>
        <v>Sufficient</v>
      </c>
      <c r="I44" s="22">
        <f t="shared" si="0"/>
        <v>0</v>
      </c>
      <c r="J44" s="22" t="str">
        <f t="shared" si="1"/>
        <v>Low Risk</v>
      </c>
    </row>
    <row r="45" spans="1:10" x14ac:dyDescent="0.3">
      <c r="A45" t="str">
        <f>Data!A45</f>
        <v>ELE0044</v>
      </c>
      <c r="B45" t="str">
        <f>Data!B45</f>
        <v>Electronics Item 44</v>
      </c>
      <c r="C45" t="str">
        <f>Data!C45</f>
        <v>Category B</v>
      </c>
      <c r="D45" t="str">
        <f>Data!G45</f>
        <v>Supplier Y</v>
      </c>
      <c r="E45" s="2">
        <f>Data!D45</f>
        <v>11</v>
      </c>
      <c r="F45" s="2">
        <f>Data!E45</f>
        <v>149</v>
      </c>
      <c r="G45" s="8">
        <f>Data!L45</f>
        <v>1499.08</v>
      </c>
      <c r="H45" t="str">
        <f>Data!K45</f>
        <v>Below Reorder</v>
      </c>
      <c r="I45" s="22">
        <f t="shared" si="0"/>
        <v>93</v>
      </c>
      <c r="J45" s="22" t="str">
        <f t="shared" si="1"/>
        <v>High Risk</v>
      </c>
    </row>
    <row r="46" spans="1:10" x14ac:dyDescent="0.3">
      <c r="A46" t="str">
        <f>Data!A46</f>
        <v>ELE0045</v>
      </c>
      <c r="B46" t="str">
        <f>Data!B46</f>
        <v>Electronics Item 45</v>
      </c>
      <c r="C46" t="str">
        <f>Data!C46</f>
        <v>Category A</v>
      </c>
      <c r="D46" t="str">
        <f>Data!G46</f>
        <v>Supplier X</v>
      </c>
      <c r="E46" s="2">
        <f>Data!D46</f>
        <v>366</v>
      </c>
      <c r="F46" s="2">
        <f>Data!E46</f>
        <v>192</v>
      </c>
      <c r="G46" s="8">
        <f>Data!L46</f>
        <v>121742.58</v>
      </c>
      <c r="H46" t="str">
        <f>Data!K46</f>
        <v>Sufficient</v>
      </c>
      <c r="I46" s="22">
        <f t="shared" si="0"/>
        <v>0</v>
      </c>
      <c r="J46" s="22" t="str">
        <f t="shared" si="1"/>
        <v>Low Risk</v>
      </c>
    </row>
    <row r="47" spans="1:10" x14ac:dyDescent="0.3">
      <c r="A47" t="str">
        <f>Data!A47</f>
        <v>ELE0046</v>
      </c>
      <c r="B47" t="str">
        <f>Data!B47</f>
        <v>Electronics Item 46</v>
      </c>
      <c r="C47" t="str">
        <f>Data!C47</f>
        <v>Category A</v>
      </c>
      <c r="D47" t="str">
        <f>Data!G47</f>
        <v>Supplier Z</v>
      </c>
      <c r="E47" s="2">
        <f>Data!D47</f>
        <v>121</v>
      </c>
      <c r="F47" s="2">
        <f>Data!E47</f>
        <v>64</v>
      </c>
      <c r="G47" s="8">
        <f>Data!L47</f>
        <v>35294.49</v>
      </c>
      <c r="H47" t="str">
        <f>Data!K47</f>
        <v>Sufficient</v>
      </c>
      <c r="I47" s="22">
        <f t="shared" si="0"/>
        <v>0</v>
      </c>
      <c r="J47" s="22" t="str">
        <f t="shared" si="1"/>
        <v>Low Risk</v>
      </c>
    </row>
    <row r="48" spans="1:10" x14ac:dyDescent="0.3">
      <c r="A48" t="str">
        <f>Data!A48</f>
        <v>ELE0047</v>
      </c>
      <c r="B48" t="str">
        <f>Data!B48</f>
        <v>Electronics Item 47</v>
      </c>
      <c r="C48" t="str">
        <f>Data!C48</f>
        <v>Category C</v>
      </c>
      <c r="D48" t="str">
        <f>Data!G48</f>
        <v>Supplier X</v>
      </c>
      <c r="E48" s="2">
        <f>Data!D48</f>
        <v>39</v>
      </c>
      <c r="F48" s="2">
        <f>Data!E48</f>
        <v>62</v>
      </c>
      <c r="G48" s="8">
        <f>Data!L48</f>
        <v>11472.63</v>
      </c>
      <c r="H48" t="str">
        <f>Data!K48</f>
        <v>Below Reorder</v>
      </c>
      <c r="I48" s="22">
        <f t="shared" si="0"/>
        <v>37</v>
      </c>
      <c r="J48" s="22" t="str">
        <f t="shared" si="1"/>
        <v>High Risk</v>
      </c>
    </row>
    <row r="49" spans="1:10" x14ac:dyDescent="0.3">
      <c r="A49" t="str">
        <f>Data!A49</f>
        <v>ELE0048</v>
      </c>
      <c r="B49" t="str">
        <f>Data!B49</f>
        <v>Electronics Item 48</v>
      </c>
      <c r="C49" t="str">
        <f>Data!C49</f>
        <v>Category C</v>
      </c>
      <c r="D49" t="str">
        <f>Data!G49</f>
        <v>Supplier X</v>
      </c>
      <c r="E49" s="2">
        <f>Data!D49</f>
        <v>270</v>
      </c>
      <c r="F49" s="2">
        <f>Data!E49</f>
        <v>70</v>
      </c>
      <c r="G49" s="8">
        <f>Data!L49</f>
        <v>115130.7</v>
      </c>
      <c r="H49" t="str">
        <f>Data!K49</f>
        <v>Sufficient</v>
      </c>
      <c r="I49" s="22">
        <f t="shared" si="0"/>
        <v>0</v>
      </c>
      <c r="J49" s="22" t="str">
        <f t="shared" si="1"/>
        <v>Low Risk</v>
      </c>
    </row>
    <row r="50" spans="1:10" x14ac:dyDescent="0.3">
      <c r="A50" t="str">
        <f>Data!A50</f>
        <v>ELE0049</v>
      </c>
      <c r="B50" t="str">
        <f>Data!B50</f>
        <v>Electronics Item 49</v>
      </c>
      <c r="C50" t="str">
        <f>Data!C50</f>
        <v>Category C</v>
      </c>
      <c r="D50" t="str">
        <f>Data!G50</f>
        <v>Supplier X</v>
      </c>
      <c r="E50" s="2">
        <f>Data!D50</f>
        <v>451</v>
      </c>
      <c r="F50" s="2">
        <f>Data!E50</f>
        <v>110</v>
      </c>
      <c r="G50" s="8">
        <f>Data!L50</f>
        <v>92396.37</v>
      </c>
      <c r="H50" t="str">
        <f>Data!K50</f>
        <v>Sufficient</v>
      </c>
      <c r="I50" s="22">
        <f t="shared" si="0"/>
        <v>0</v>
      </c>
      <c r="J50" s="22" t="str">
        <f t="shared" si="1"/>
        <v>Low Risk</v>
      </c>
    </row>
    <row r="51" spans="1:10" x14ac:dyDescent="0.3">
      <c r="A51" t="str">
        <f>Data!A51</f>
        <v>ELE0050</v>
      </c>
      <c r="B51" t="str">
        <f>Data!B51</f>
        <v>Electronics Item 50</v>
      </c>
      <c r="C51" t="str">
        <f>Data!C51</f>
        <v>Category C</v>
      </c>
      <c r="D51" t="str">
        <f>Data!G51</f>
        <v>Supplier Z</v>
      </c>
      <c r="E51" s="2">
        <f>Data!D51</f>
        <v>314</v>
      </c>
      <c r="F51" s="2">
        <f>Data!E51</f>
        <v>60</v>
      </c>
      <c r="G51" s="8">
        <f>Data!L51</f>
        <v>97839.26</v>
      </c>
      <c r="H51" t="str">
        <f>Data!K51</f>
        <v>Sufficient</v>
      </c>
      <c r="I51" s="22">
        <f t="shared" si="0"/>
        <v>0</v>
      </c>
      <c r="J51" s="22" t="str">
        <f t="shared" si="1"/>
        <v>Low Risk</v>
      </c>
    </row>
    <row r="52" spans="1:10" x14ac:dyDescent="0.3">
      <c r="A52" t="str">
        <f>Data!A52</f>
        <v>ELE0051</v>
      </c>
      <c r="B52" t="str">
        <f>Data!B52</f>
        <v>Electronics Item 51</v>
      </c>
      <c r="C52" t="str">
        <f>Data!C52</f>
        <v>Category C</v>
      </c>
      <c r="D52" t="str">
        <f>Data!G52</f>
        <v>Supplier Z</v>
      </c>
      <c r="E52" s="2">
        <f>Data!D52</f>
        <v>277</v>
      </c>
      <c r="F52" s="2">
        <f>Data!E52</f>
        <v>130</v>
      </c>
      <c r="G52" s="8">
        <f>Data!L52</f>
        <v>129547.36</v>
      </c>
      <c r="H52" t="str">
        <f>Data!K52</f>
        <v>Sufficient</v>
      </c>
      <c r="I52" s="22">
        <f t="shared" si="0"/>
        <v>0</v>
      </c>
      <c r="J52" s="22" t="str">
        <f t="shared" si="1"/>
        <v>Low Risk</v>
      </c>
    </row>
    <row r="53" spans="1:10" x14ac:dyDescent="0.3">
      <c r="A53" t="str">
        <f>Data!A53</f>
        <v>ELE0052</v>
      </c>
      <c r="B53" t="str">
        <f>Data!B53</f>
        <v>Electronics Item 52</v>
      </c>
      <c r="C53" t="str">
        <f>Data!C53</f>
        <v>Category C</v>
      </c>
      <c r="D53" t="str">
        <f>Data!G53</f>
        <v>Supplier Y</v>
      </c>
      <c r="E53" s="2">
        <f>Data!D53</f>
        <v>132</v>
      </c>
      <c r="F53" s="2">
        <f>Data!E53</f>
        <v>117</v>
      </c>
      <c r="G53" s="8">
        <f>Data!L53</f>
        <v>26520.12</v>
      </c>
      <c r="H53" t="str">
        <f>Data!K53</f>
        <v>Sufficient</v>
      </c>
      <c r="I53" s="22">
        <f t="shared" si="0"/>
        <v>0</v>
      </c>
      <c r="J53" s="22" t="str">
        <f t="shared" si="1"/>
        <v>Low Risk</v>
      </c>
    </row>
    <row r="54" spans="1:10" x14ac:dyDescent="0.3">
      <c r="A54" t="str">
        <f>Data!A54</f>
        <v>ELE0053</v>
      </c>
      <c r="B54" t="str">
        <f>Data!B54</f>
        <v>Electronics Item 53</v>
      </c>
      <c r="C54" t="str">
        <f>Data!C54</f>
        <v>Category C</v>
      </c>
      <c r="D54" t="str">
        <f>Data!G54</f>
        <v>Supplier X</v>
      </c>
      <c r="E54" s="2">
        <f>Data!D54</f>
        <v>171</v>
      </c>
      <c r="F54" s="2">
        <f>Data!E54</f>
        <v>68</v>
      </c>
      <c r="G54" s="8">
        <f>Data!L54</f>
        <v>1643.31</v>
      </c>
      <c r="H54" t="str">
        <f>Data!K54</f>
        <v>Sufficient</v>
      </c>
      <c r="I54" s="22">
        <f t="shared" si="0"/>
        <v>0</v>
      </c>
      <c r="J54" s="22" t="str">
        <f t="shared" si="1"/>
        <v>Low Risk</v>
      </c>
    </row>
    <row r="55" spans="1:10" x14ac:dyDescent="0.3">
      <c r="A55" t="str">
        <f>Data!A55</f>
        <v>ELE0054</v>
      </c>
      <c r="B55" t="str">
        <f>Data!B55</f>
        <v>Electronics Item 54</v>
      </c>
      <c r="C55" t="str">
        <f>Data!C55</f>
        <v>Category B</v>
      </c>
      <c r="D55" t="str">
        <f>Data!G55</f>
        <v>Supplier X</v>
      </c>
      <c r="E55" s="2">
        <f>Data!D55</f>
        <v>285</v>
      </c>
      <c r="F55" s="2">
        <f>Data!E55</f>
        <v>104</v>
      </c>
      <c r="G55" s="8">
        <f>Data!L55</f>
        <v>72791.850000000006</v>
      </c>
      <c r="H55" t="str">
        <f>Data!K55</f>
        <v>Sufficient</v>
      </c>
      <c r="I55" s="22">
        <f t="shared" si="0"/>
        <v>0</v>
      </c>
      <c r="J55" s="22" t="str">
        <f t="shared" si="1"/>
        <v>Low Risk</v>
      </c>
    </row>
    <row r="56" spans="1:10" x14ac:dyDescent="0.3">
      <c r="A56" t="str">
        <f>Data!A56</f>
        <v>ELE0055</v>
      </c>
      <c r="B56" t="str">
        <f>Data!B56</f>
        <v>Electronics Item 55</v>
      </c>
      <c r="C56" t="str">
        <f>Data!C56</f>
        <v>Category C</v>
      </c>
      <c r="D56" t="str">
        <f>Data!G56</f>
        <v>Supplier Z</v>
      </c>
      <c r="E56" s="2">
        <f>Data!D56</f>
        <v>199</v>
      </c>
      <c r="F56" s="2">
        <f>Data!E56</f>
        <v>122</v>
      </c>
      <c r="G56" s="8">
        <f>Data!L56</f>
        <v>16532.919999999998</v>
      </c>
      <c r="H56" t="str">
        <f>Data!K56</f>
        <v>Sufficient</v>
      </c>
      <c r="I56" s="22">
        <f t="shared" si="0"/>
        <v>0</v>
      </c>
      <c r="J56" s="22" t="str">
        <f t="shared" si="1"/>
        <v>Low Risk</v>
      </c>
    </row>
    <row r="57" spans="1:10" x14ac:dyDescent="0.3">
      <c r="A57" t="str">
        <f>Data!A57</f>
        <v>ELE0056</v>
      </c>
      <c r="B57" t="str">
        <f>Data!B57</f>
        <v>Electronics Item 56</v>
      </c>
      <c r="C57" t="str">
        <f>Data!C57</f>
        <v>Category C</v>
      </c>
      <c r="D57" t="str">
        <f>Data!G57</f>
        <v>Supplier Y</v>
      </c>
      <c r="E57" s="2">
        <f>Data!D57</f>
        <v>323</v>
      </c>
      <c r="F57" s="2">
        <f>Data!E57</f>
        <v>185</v>
      </c>
      <c r="G57" s="8">
        <f>Data!L57</f>
        <v>2865.01</v>
      </c>
      <c r="H57" t="str">
        <f>Data!K57</f>
        <v>Sufficient</v>
      </c>
      <c r="I57" s="22">
        <f t="shared" si="0"/>
        <v>0</v>
      </c>
      <c r="J57" s="22" t="str">
        <f t="shared" si="1"/>
        <v>Low Risk</v>
      </c>
    </row>
    <row r="58" spans="1:10" x14ac:dyDescent="0.3">
      <c r="A58" t="str">
        <f>Data!A58</f>
        <v>ELE0057</v>
      </c>
      <c r="B58" t="str">
        <f>Data!B58</f>
        <v>Electronics Item 57</v>
      </c>
      <c r="C58" t="str">
        <f>Data!C58</f>
        <v>Category A</v>
      </c>
      <c r="D58" t="str">
        <f>Data!G58</f>
        <v>Supplier Z</v>
      </c>
      <c r="E58" s="2">
        <f>Data!D58</f>
        <v>63</v>
      </c>
      <c r="F58" s="2">
        <f>Data!E58</f>
        <v>84</v>
      </c>
      <c r="G58" s="8">
        <f>Data!L58</f>
        <v>8562.33</v>
      </c>
      <c r="H58" t="str">
        <f>Data!K58</f>
        <v>Below Reorder</v>
      </c>
      <c r="I58" s="22">
        <f t="shared" si="0"/>
        <v>25</v>
      </c>
      <c r="J58" s="22" t="str">
        <f t="shared" si="1"/>
        <v>High Risk</v>
      </c>
    </row>
    <row r="59" spans="1:10" x14ac:dyDescent="0.3">
      <c r="A59" t="str">
        <f>Data!A59</f>
        <v>ELE0058</v>
      </c>
      <c r="B59" t="str">
        <f>Data!B59</f>
        <v>Electronics Item 58</v>
      </c>
      <c r="C59" t="str">
        <f>Data!C59</f>
        <v>Category C</v>
      </c>
      <c r="D59" t="str">
        <f>Data!G59</f>
        <v>Supplier Y</v>
      </c>
      <c r="E59" s="2">
        <f>Data!D59</f>
        <v>89</v>
      </c>
      <c r="F59" s="2">
        <f>Data!E59</f>
        <v>119</v>
      </c>
      <c r="G59" s="8">
        <f>Data!L59</f>
        <v>12857.83</v>
      </c>
      <c r="H59" t="str">
        <f>Data!K59</f>
        <v>Below Reorder</v>
      </c>
      <c r="I59" s="22">
        <f t="shared" si="0"/>
        <v>25</v>
      </c>
      <c r="J59" s="22" t="str">
        <f t="shared" si="1"/>
        <v>High Risk</v>
      </c>
    </row>
    <row r="60" spans="1:10" x14ac:dyDescent="0.3">
      <c r="A60" t="str">
        <f>Data!A60</f>
        <v>ELE0059</v>
      </c>
      <c r="B60" t="str">
        <f>Data!B60</f>
        <v>Electronics Item 59</v>
      </c>
      <c r="C60" t="str">
        <f>Data!C60</f>
        <v>Category A</v>
      </c>
      <c r="D60" t="str">
        <f>Data!G60</f>
        <v>Supplier X</v>
      </c>
      <c r="E60" s="2">
        <f>Data!D60</f>
        <v>361</v>
      </c>
      <c r="F60" s="2">
        <f>Data!E60</f>
        <v>117</v>
      </c>
      <c r="G60" s="8">
        <f>Data!L60</f>
        <v>92119.98</v>
      </c>
      <c r="H60" t="str">
        <f>Data!K60</f>
        <v>Sufficient</v>
      </c>
      <c r="I60" s="22">
        <f t="shared" si="0"/>
        <v>0</v>
      </c>
      <c r="J60" s="22" t="str">
        <f t="shared" si="1"/>
        <v>Low Risk</v>
      </c>
    </row>
    <row r="61" spans="1:10" x14ac:dyDescent="0.3">
      <c r="A61" t="str">
        <f>Data!A61</f>
        <v>ELE0060</v>
      </c>
      <c r="B61" t="str">
        <f>Data!B61</f>
        <v>Electronics Item 60</v>
      </c>
      <c r="C61" t="str">
        <f>Data!C61</f>
        <v>Category A</v>
      </c>
      <c r="D61" t="str">
        <f>Data!G61</f>
        <v>Supplier Z</v>
      </c>
      <c r="E61" s="2">
        <f>Data!D61</f>
        <v>226</v>
      </c>
      <c r="F61" s="2">
        <f>Data!E61</f>
        <v>120</v>
      </c>
      <c r="G61" s="8">
        <f>Data!L61</f>
        <v>6061.32</v>
      </c>
      <c r="H61" t="str">
        <f>Data!K61</f>
        <v>Sufficient</v>
      </c>
      <c r="I61" s="22">
        <f t="shared" si="0"/>
        <v>0</v>
      </c>
      <c r="J61" s="22" t="str">
        <f t="shared" si="1"/>
        <v>Low Risk</v>
      </c>
    </row>
    <row r="62" spans="1:10" x14ac:dyDescent="0.3">
      <c r="A62" t="str">
        <f>Data!A62</f>
        <v>ELE0061</v>
      </c>
      <c r="B62" t="str">
        <f>Data!B62</f>
        <v>Electronics Item 61</v>
      </c>
      <c r="C62" t="str">
        <f>Data!C62</f>
        <v>Category C</v>
      </c>
      <c r="D62" t="str">
        <f>Data!G62</f>
        <v>Supplier X</v>
      </c>
      <c r="E62" s="2">
        <f>Data!D62</f>
        <v>92</v>
      </c>
      <c r="F62" s="2">
        <f>Data!E62</f>
        <v>163</v>
      </c>
      <c r="G62" s="8">
        <f>Data!L62</f>
        <v>25583.360000000001</v>
      </c>
      <c r="H62" t="str">
        <f>Data!K62</f>
        <v>Below Reorder</v>
      </c>
      <c r="I62" s="22">
        <f t="shared" si="0"/>
        <v>44</v>
      </c>
      <c r="J62" s="22" t="str">
        <f t="shared" si="1"/>
        <v>High Risk</v>
      </c>
    </row>
    <row r="63" spans="1:10" x14ac:dyDescent="0.3">
      <c r="A63" t="str">
        <f>Data!A63</f>
        <v>ELE0062</v>
      </c>
      <c r="B63" t="str">
        <f>Data!B63</f>
        <v>Electronics Item 62</v>
      </c>
      <c r="C63" t="str">
        <f>Data!C63</f>
        <v>Category B</v>
      </c>
      <c r="D63" t="str">
        <f>Data!G63</f>
        <v>Supplier Z</v>
      </c>
      <c r="E63" s="2">
        <f>Data!D63</f>
        <v>48</v>
      </c>
      <c r="F63" s="2">
        <f>Data!E63</f>
        <v>88</v>
      </c>
      <c r="G63" s="8">
        <f>Data!L63</f>
        <v>13203.36</v>
      </c>
      <c r="H63" t="str">
        <f>Data!K63</f>
        <v>Below Reorder</v>
      </c>
      <c r="I63" s="22">
        <f t="shared" si="0"/>
        <v>45</v>
      </c>
      <c r="J63" s="22" t="str">
        <f t="shared" si="1"/>
        <v>High Risk</v>
      </c>
    </row>
    <row r="64" spans="1:10" x14ac:dyDescent="0.3">
      <c r="A64" t="str">
        <f>Data!A64</f>
        <v>ELE0063</v>
      </c>
      <c r="B64" t="str">
        <f>Data!B64</f>
        <v>Electronics Item 63</v>
      </c>
      <c r="C64" t="str">
        <f>Data!C64</f>
        <v>Category B</v>
      </c>
      <c r="D64" t="str">
        <f>Data!G64</f>
        <v>Supplier X</v>
      </c>
      <c r="E64" s="2">
        <f>Data!D64</f>
        <v>85</v>
      </c>
      <c r="F64" s="2">
        <f>Data!E64</f>
        <v>160</v>
      </c>
      <c r="G64" s="8">
        <f>Data!L64</f>
        <v>5787.65</v>
      </c>
      <c r="H64" t="str">
        <f>Data!K64</f>
        <v>Below Reorder</v>
      </c>
      <c r="I64" s="22">
        <f t="shared" si="0"/>
        <v>47</v>
      </c>
      <c r="J64" s="22" t="str">
        <f t="shared" si="1"/>
        <v>High Risk</v>
      </c>
    </row>
    <row r="65" spans="1:10" x14ac:dyDescent="0.3">
      <c r="A65" t="str">
        <f>Data!A65</f>
        <v>ELE0064</v>
      </c>
      <c r="B65" t="str">
        <f>Data!B65</f>
        <v>Electronics Item 64</v>
      </c>
      <c r="C65" t="str">
        <f>Data!C65</f>
        <v>Category C</v>
      </c>
      <c r="D65" t="str">
        <f>Data!G65</f>
        <v>Supplier Y</v>
      </c>
      <c r="E65" s="2">
        <f>Data!D65</f>
        <v>117</v>
      </c>
      <c r="F65" s="2">
        <f>Data!E65</f>
        <v>113</v>
      </c>
      <c r="G65" s="8">
        <f>Data!L65</f>
        <v>39210.21</v>
      </c>
      <c r="H65" t="str">
        <f>Data!K65</f>
        <v>Sufficient</v>
      </c>
      <c r="I65" s="22">
        <f t="shared" si="0"/>
        <v>0</v>
      </c>
      <c r="J65" s="22" t="str">
        <f t="shared" si="1"/>
        <v>Low Risk</v>
      </c>
    </row>
    <row r="66" spans="1:10" x14ac:dyDescent="0.3">
      <c r="A66" t="str">
        <f>Data!A66</f>
        <v>ELE0065</v>
      </c>
      <c r="B66" t="str">
        <f>Data!B66</f>
        <v>Electronics Item 65</v>
      </c>
      <c r="C66" t="str">
        <f>Data!C66</f>
        <v>Category A</v>
      </c>
      <c r="D66" t="str">
        <f>Data!G66</f>
        <v>Supplier X</v>
      </c>
      <c r="E66" s="2">
        <f>Data!D66</f>
        <v>393</v>
      </c>
      <c r="F66" s="2">
        <f>Data!E66</f>
        <v>89</v>
      </c>
      <c r="G66" s="8">
        <f>Data!L66</f>
        <v>182057.25</v>
      </c>
      <c r="H66" t="str">
        <f>Data!K66</f>
        <v>Sufficient</v>
      </c>
      <c r="I66" s="22">
        <f t="shared" si="0"/>
        <v>0</v>
      </c>
      <c r="J66" s="22" t="str">
        <f t="shared" si="1"/>
        <v>Low Risk</v>
      </c>
    </row>
    <row r="67" spans="1:10" x14ac:dyDescent="0.3">
      <c r="A67" t="str">
        <f>Data!A67</f>
        <v>ELE0066</v>
      </c>
      <c r="B67" t="str">
        <f>Data!B67</f>
        <v>Electronics Item 66</v>
      </c>
      <c r="C67" t="str">
        <f>Data!C67</f>
        <v>Category B</v>
      </c>
      <c r="D67" t="str">
        <f>Data!G67</f>
        <v>Supplier Z</v>
      </c>
      <c r="E67" s="2">
        <f>Data!D67</f>
        <v>22</v>
      </c>
      <c r="F67" s="2">
        <f>Data!E67</f>
        <v>95</v>
      </c>
      <c r="G67" s="8">
        <f>Data!L67</f>
        <v>8131.2</v>
      </c>
      <c r="H67" t="str">
        <f>Data!K67</f>
        <v>Below Reorder</v>
      </c>
      <c r="I67" s="22">
        <f t="shared" ref="I67:I130" si="2">ROUND(MAX(MIN(((F67-E67)/F67)*100,100),0),0)</f>
        <v>77</v>
      </c>
      <c r="J67" s="22" t="str">
        <f t="shared" ref="J67:J130" si="3">IF(H67="Below Reorder","High Risk",IF(I67&gt;0,"Medium Risk","Low Risk"))</f>
        <v>High Risk</v>
      </c>
    </row>
    <row r="68" spans="1:10" x14ac:dyDescent="0.3">
      <c r="A68" t="str">
        <f>Data!A68</f>
        <v>ELE0067</v>
      </c>
      <c r="B68" t="str">
        <f>Data!B68</f>
        <v>Electronics Item 67</v>
      </c>
      <c r="C68" t="str">
        <f>Data!C68</f>
        <v>Category C</v>
      </c>
      <c r="D68" t="str">
        <f>Data!G68</f>
        <v>Supplier X</v>
      </c>
      <c r="E68" s="2">
        <f>Data!D68</f>
        <v>425</v>
      </c>
      <c r="F68" s="2">
        <f>Data!E68</f>
        <v>113</v>
      </c>
      <c r="G68" s="8">
        <f>Data!L68</f>
        <v>58254.75</v>
      </c>
      <c r="H68" t="str">
        <f>Data!K68</f>
        <v>Sufficient</v>
      </c>
      <c r="I68" s="22">
        <f t="shared" si="2"/>
        <v>0</v>
      </c>
      <c r="J68" s="22" t="str">
        <f t="shared" si="3"/>
        <v>Low Risk</v>
      </c>
    </row>
    <row r="69" spans="1:10" x14ac:dyDescent="0.3">
      <c r="A69" t="str">
        <f>Data!A69</f>
        <v>ELE0068</v>
      </c>
      <c r="B69" t="str">
        <f>Data!B69</f>
        <v>Electronics Item 68</v>
      </c>
      <c r="C69" t="str">
        <f>Data!C69</f>
        <v>Category A</v>
      </c>
      <c r="D69" t="str">
        <f>Data!G69</f>
        <v>Supplier Y</v>
      </c>
      <c r="E69" s="2">
        <f>Data!D69</f>
        <v>456</v>
      </c>
      <c r="F69" s="2">
        <f>Data!E69</f>
        <v>59</v>
      </c>
      <c r="G69" s="8">
        <f>Data!L69</f>
        <v>196080</v>
      </c>
      <c r="H69" t="str">
        <f>Data!K69</f>
        <v>Sufficient</v>
      </c>
      <c r="I69" s="22">
        <f t="shared" si="2"/>
        <v>0</v>
      </c>
      <c r="J69" s="22" t="str">
        <f t="shared" si="3"/>
        <v>Low Risk</v>
      </c>
    </row>
    <row r="70" spans="1:10" x14ac:dyDescent="0.3">
      <c r="A70" t="str">
        <f>Data!A70</f>
        <v>ELE0069</v>
      </c>
      <c r="B70" t="str">
        <f>Data!B70</f>
        <v>Electronics Item 69</v>
      </c>
      <c r="C70" t="str">
        <f>Data!C70</f>
        <v>Category A</v>
      </c>
      <c r="D70" t="str">
        <f>Data!G70</f>
        <v>Supplier Y</v>
      </c>
      <c r="E70" s="2">
        <f>Data!D70</f>
        <v>166</v>
      </c>
      <c r="F70" s="2">
        <f>Data!E70</f>
        <v>108</v>
      </c>
      <c r="G70" s="8">
        <f>Data!L70</f>
        <v>19148.099999999999</v>
      </c>
      <c r="H70" t="str">
        <f>Data!K70</f>
        <v>Sufficient</v>
      </c>
      <c r="I70" s="22">
        <f t="shared" si="2"/>
        <v>0</v>
      </c>
      <c r="J70" s="22" t="str">
        <f t="shared" si="3"/>
        <v>Low Risk</v>
      </c>
    </row>
    <row r="71" spans="1:10" x14ac:dyDescent="0.3">
      <c r="A71" t="str">
        <f>Data!A71</f>
        <v>ELE0070</v>
      </c>
      <c r="B71" t="str">
        <f>Data!B71</f>
        <v>Electronics Item 70</v>
      </c>
      <c r="C71" t="str">
        <f>Data!C71</f>
        <v>Category B</v>
      </c>
      <c r="D71" t="str">
        <f>Data!G71</f>
        <v>Supplier Z</v>
      </c>
      <c r="E71" s="2">
        <f>Data!D71</f>
        <v>152</v>
      </c>
      <c r="F71" s="2">
        <f>Data!E71</f>
        <v>67</v>
      </c>
      <c r="G71" s="8">
        <f>Data!L71</f>
        <v>73508.72</v>
      </c>
      <c r="H71" t="str">
        <f>Data!K71</f>
        <v>Sufficient</v>
      </c>
      <c r="I71" s="22">
        <f t="shared" si="2"/>
        <v>0</v>
      </c>
      <c r="J71" s="22" t="str">
        <f t="shared" si="3"/>
        <v>Low Risk</v>
      </c>
    </row>
    <row r="72" spans="1:10" x14ac:dyDescent="0.3">
      <c r="A72" t="str">
        <f>Data!A72</f>
        <v>ELE0071</v>
      </c>
      <c r="B72" t="str">
        <f>Data!B72</f>
        <v>Electronics Item 71</v>
      </c>
      <c r="C72" t="str">
        <f>Data!C72</f>
        <v>Category A</v>
      </c>
      <c r="D72" t="str">
        <f>Data!G72</f>
        <v>Supplier Y</v>
      </c>
      <c r="E72" s="2">
        <f>Data!D72</f>
        <v>214</v>
      </c>
      <c r="F72" s="2">
        <f>Data!E72</f>
        <v>187</v>
      </c>
      <c r="G72" s="8">
        <f>Data!L72</f>
        <v>36148.879999999997</v>
      </c>
      <c r="H72" t="str">
        <f>Data!K72</f>
        <v>Sufficient</v>
      </c>
      <c r="I72" s="22">
        <f t="shared" si="2"/>
        <v>0</v>
      </c>
      <c r="J72" s="22" t="str">
        <f t="shared" si="3"/>
        <v>Low Risk</v>
      </c>
    </row>
    <row r="73" spans="1:10" x14ac:dyDescent="0.3">
      <c r="A73" t="str">
        <f>Data!A73</f>
        <v>ELE0072</v>
      </c>
      <c r="B73" t="str">
        <f>Data!B73</f>
        <v>Electronics Item 72</v>
      </c>
      <c r="C73" t="str">
        <f>Data!C73</f>
        <v>Category B</v>
      </c>
      <c r="D73" t="str">
        <f>Data!G73</f>
        <v>Supplier Y</v>
      </c>
      <c r="E73" s="2">
        <f>Data!D73</f>
        <v>307</v>
      </c>
      <c r="F73" s="2">
        <f>Data!E73</f>
        <v>117</v>
      </c>
      <c r="G73" s="8">
        <f>Data!L73</f>
        <v>7349.58</v>
      </c>
      <c r="H73" t="str">
        <f>Data!K73</f>
        <v>Sufficient</v>
      </c>
      <c r="I73" s="22">
        <f t="shared" si="2"/>
        <v>0</v>
      </c>
      <c r="J73" s="22" t="str">
        <f t="shared" si="3"/>
        <v>Low Risk</v>
      </c>
    </row>
    <row r="74" spans="1:10" x14ac:dyDescent="0.3">
      <c r="A74" t="str">
        <f>Data!A74</f>
        <v>ELE0073</v>
      </c>
      <c r="B74" t="str">
        <f>Data!B74</f>
        <v>Electronics Item 73</v>
      </c>
      <c r="C74" t="str">
        <f>Data!C74</f>
        <v>Category A</v>
      </c>
      <c r="D74" t="str">
        <f>Data!G74</f>
        <v>Supplier Y</v>
      </c>
      <c r="E74" s="2">
        <f>Data!D74</f>
        <v>412</v>
      </c>
      <c r="F74" s="2">
        <f>Data!E74</f>
        <v>130</v>
      </c>
      <c r="G74" s="8">
        <f>Data!L74</f>
        <v>91056.12</v>
      </c>
      <c r="H74" t="str">
        <f>Data!K74</f>
        <v>Sufficient</v>
      </c>
      <c r="I74" s="22">
        <f t="shared" si="2"/>
        <v>0</v>
      </c>
      <c r="J74" s="22" t="str">
        <f t="shared" si="3"/>
        <v>Low Risk</v>
      </c>
    </row>
    <row r="75" spans="1:10" x14ac:dyDescent="0.3">
      <c r="A75" t="str">
        <f>Data!A75</f>
        <v>ELE0074</v>
      </c>
      <c r="B75" t="str">
        <f>Data!B75</f>
        <v>Electronics Item 74</v>
      </c>
      <c r="C75" t="str">
        <f>Data!C75</f>
        <v>Category A</v>
      </c>
      <c r="D75" t="str">
        <f>Data!G75</f>
        <v>Supplier Z</v>
      </c>
      <c r="E75" s="2">
        <f>Data!D75</f>
        <v>107</v>
      </c>
      <c r="F75" s="2">
        <f>Data!E75</f>
        <v>115</v>
      </c>
      <c r="G75" s="8">
        <f>Data!L75</f>
        <v>2885.79</v>
      </c>
      <c r="H75" t="str">
        <f>Data!K75</f>
        <v>Below Reorder</v>
      </c>
      <c r="I75" s="22">
        <f t="shared" si="2"/>
        <v>7</v>
      </c>
      <c r="J75" s="22" t="str">
        <f t="shared" si="3"/>
        <v>High Risk</v>
      </c>
    </row>
    <row r="76" spans="1:10" x14ac:dyDescent="0.3">
      <c r="A76" t="str">
        <f>Data!A76</f>
        <v>ELE0075</v>
      </c>
      <c r="B76" t="str">
        <f>Data!B76</f>
        <v>Electronics Item 75</v>
      </c>
      <c r="C76" t="str">
        <f>Data!C76</f>
        <v>Category C</v>
      </c>
      <c r="D76" t="str">
        <f>Data!G76</f>
        <v>Supplier Y</v>
      </c>
      <c r="E76" s="2">
        <f>Data!D76</f>
        <v>361</v>
      </c>
      <c r="F76" s="2">
        <f>Data!E76</f>
        <v>100</v>
      </c>
      <c r="G76" s="8">
        <f>Data!L76</f>
        <v>66889.69</v>
      </c>
      <c r="H76" t="str">
        <f>Data!K76</f>
        <v>Sufficient</v>
      </c>
      <c r="I76" s="22">
        <f t="shared" si="2"/>
        <v>0</v>
      </c>
      <c r="J76" s="22" t="str">
        <f t="shared" si="3"/>
        <v>Low Risk</v>
      </c>
    </row>
    <row r="77" spans="1:10" x14ac:dyDescent="0.3">
      <c r="A77" t="str">
        <f>Data!A77</f>
        <v>ELE0076</v>
      </c>
      <c r="B77" t="str">
        <f>Data!B77</f>
        <v>Electronics Item 76</v>
      </c>
      <c r="C77" t="str">
        <f>Data!C77</f>
        <v>Category C</v>
      </c>
      <c r="D77" t="str">
        <f>Data!G77</f>
        <v>Supplier Y</v>
      </c>
      <c r="E77" s="2">
        <f>Data!D77</f>
        <v>170</v>
      </c>
      <c r="F77" s="2">
        <f>Data!E77</f>
        <v>81</v>
      </c>
      <c r="G77" s="8">
        <f>Data!L77</f>
        <v>61417.599999999999</v>
      </c>
      <c r="H77" t="str">
        <f>Data!K77</f>
        <v>Sufficient</v>
      </c>
      <c r="I77" s="22">
        <f t="shared" si="2"/>
        <v>0</v>
      </c>
      <c r="J77" s="22" t="str">
        <f t="shared" si="3"/>
        <v>Low Risk</v>
      </c>
    </row>
    <row r="78" spans="1:10" x14ac:dyDescent="0.3">
      <c r="A78" t="str">
        <f>Data!A78</f>
        <v>ELE0077</v>
      </c>
      <c r="B78" t="str">
        <f>Data!B78</f>
        <v>Electronics Item 77</v>
      </c>
      <c r="C78" t="str">
        <f>Data!C78</f>
        <v>Category C</v>
      </c>
      <c r="D78" t="str">
        <f>Data!G78</f>
        <v>Supplier X</v>
      </c>
      <c r="E78" s="2">
        <f>Data!D78</f>
        <v>219</v>
      </c>
      <c r="F78" s="2">
        <f>Data!E78</f>
        <v>133</v>
      </c>
      <c r="G78" s="8">
        <f>Data!L78</f>
        <v>44717.61</v>
      </c>
      <c r="H78" t="str">
        <f>Data!K78</f>
        <v>Sufficient</v>
      </c>
      <c r="I78" s="22">
        <f t="shared" si="2"/>
        <v>0</v>
      </c>
      <c r="J78" s="22" t="str">
        <f t="shared" si="3"/>
        <v>Low Risk</v>
      </c>
    </row>
    <row r="79" spans="1:10" x14ac:dyDescent="0.3">
      <c r="A79" t="str">
        <f>Data!A79</f>
        <v>ELE0078</v>
      </c>
      <c r="B79" t="str">
        <f>Data!B79</f>
        <v>Electronics Item 78</v>
      </c>
      <c r="C79" t="str">
        <f>Data!C79</f>
        <v>Category A</v>
      </c>
      <c r="D79" t="str">
        <f>Data!G79</f>
        <v>Supplier Z</v>
      </c>
      <c r="E79" s="2">
        <f>Data!D79</f>
        <v>225</v>
      </c>
      <c r="F79" s="2">
        <f>Data!E79</f>
        <v>147</v>
      </c>
      <c r="G79" s="8">
        <f>Data!L79</f>
        <v>76560.75</v>
      </c>
      <c r="H79" t="str">
        <f>Data!K79</f>
        <v>Sufficient</v>
      </c>
      <c r="I79" s="22">
        <f t="shared" si="2"/>
        <v>0</v>
      </c>
      <c r="J79" s="22" t="str">
        <f t="shared" si="3"/>
        <v>Low Risk</v>
      </c>
    </row>
    <row r="80" spans="1:10" x14ac:dyDescent="0.3">
      <c r="A80" t="str">
        <f>Data!A80</f>
        <v>ELE0079</v>
      </c>
      <c r="B80" t="str">
        <f>Data!B80</f>
        <v>Electronics Item 79</v>
      </c>
      <c r="C80" t="str">
        <f>Data!C80</f>
        <v>Category B</v>
      </c>
      <c r="D80" t="str">
        <f>Data!G80</f>
        <v>Supplier Y</v>
      </c>
      <c r="E80" s="2">
        <f>Data!D80</f>
        <v>164</v>
      </c>
      <c r="F80" s="2">
        <f>Data!E80</f>
        <v>153</v>
      </c>
      <c r="G80" s="8">
        <f>Data!L80</f>
        <v>45301.72</v>
      </c>
      <c r="H80" t="str">
        <f>Data!K80</f>
        <v>Sufficient</v>
      </c>
      <c r="I80" s="22">
        <f t="shared" si="2"/>
        <v>0</v>
      </c>
      <c r="J80" s="22" t="str">
        <f t="shared" si="3"/>
        <v>Low Risk</v>
      </c>
    </row>
    <row r="81" spans="1:10" x14ac:dyDescent="0.3">
      <c r="A81" t="str">
        <f>Data!A81</f>
        <v>ELE0080</v>
      </c>
      <c r="B81" t="str">
        <f>Data!B81</f>
        <v>Electronics Item 80</v>
      </c>
      <c r="C81" t="str">
        <f>Data!C81</f>
        <v>Category B</v>
      </c>
      <c r="D81" t="str">
        <f>Data!G81</f>
        <v>Supplier Y</v>
      </c>
      <c r="E81" s="2">
        <f>Data!D81</f>
        <v>230</v>
      </c>
      <c r="F81" s="2">
        <f>Data!E81</f>
        <v>198</v>
      </c>
      <c r="G81" s="8">
        <f>Data!L81</f>
        <v>70219</v>
      </c>
      <c r="H81" t="str">
        <f>Data!K81</f>
        <v>Sufficient</v>
      </c>
      <c r="I81" s="22">
        <f t="shared" si="2"/>
        <v>0</v>
      </c>
      <c r="J81" s="22" t="str">
        <f t="shared" si="3"/>
        <v>Low Risk</v>
      </c>
    </row>
    <row r="82" spans="1:10" x14ac:dyDescent="0.3">
      <c r="A82" t="str">
        <f>Data!A82</f>
        <v>ELE0081</v>
      </c>
      <c r="B82" t="str">
        <f>Data!B82</f>
        <v>Electronics Item 81</v>
      </c>
      <c r="C82" t="str">
        <f>Data!C82</f>
        <v>Category C</v>
      </c>
      <c r="D82" t="str">
        <f>Data!G82</f>
        <v>Supplier X</v>
      </c>
      <c r="E82" s="2">
        <f>Data!D82</f>
        <v>355</v>
      </c>
      <c r="F82" s="2">
        <f>Data!E82</f>
        <v>104</v>
      </c>
      <c r="G82" s="8">
        <f>Data!L82</f>
        <v>91600.65</v>
      </c>
      <c r="H82" t="str">
        <f>Data!K82</f>
        <v>Sufficient</v>
      </c>
      <c r="I82" s="22">
        <f t="shared" si="2"/>
        <v>0</v>
      </c>
      <c r="J82" s="22" t="str">
        <f t="shared" si="3"/>
        <v>Low Risk</v>
      </c>
    </row>
    <row r="83" spans="1:10" x14ac:dyDescent="0.3">
      <c r="A83" t="str">
        <f>Data!A83</f>
        <v>ELE0082</v>
      </c>
      <c r="B83" t="str">
        <f>Data!B83</f>
        <v>Electronics Item 82</v>
      </c>
      <c r="C83" t="str">
        <f>Data!C83</f>
        <v>Category C</v>
      </c>
      <c r="D83" t="str">
        <f>Data!G83</f>
        <v>Supplier Y</v>
      </c>
      <c r="E83" s="2">
        <f>Data!D83</f>
        <v>53</v>
      </c>
      <c r="F83" s="2">
        <f>Data!E83</f>
        <v>122</v>
      </c>
      <c r="G83" s="8">
        <f>Data!L83</f>
        <v>13787.95</v>
      </c>
      <c r="H83" t="str">
        <f>Data!K83</f>
        <v>Below Reorder</v>
      </c>
      <c r="I83" s="22">
        <f t="shared" si="2"/>
        <v>57</v>
      </c>
      <c r="J83" s="22" t="str">
        <f t="shared" si="3"/>
        <v>High Risk</v>
      </c>
    </row>
    <row r="84" spans="1:10" x14ac:dyDescent="0.3">
      <c r="A84" t="str">
        <f>Data!A84</f>
        <v>ELE0083</v>
      </c>
      <c r="B84" t="str">
        <f>Data!B84</f>
        <v>Electronics Item 83</v>
      </c>
      <c r="C84" t="str">
        <f>Data!C84</f>
        <v>Category A</v>
      </c>
      <c r="D84" t="str">
        <f>Data!G84</f>
        <v>Supplier X</v>
      </c>
      <c r="E84" s="2">
        <f>Data!D84</f>
        <v>429</v>
      </c>
      <c r="F84" s="2">
        <f>Data!E84</f>
        <v>110</v>
      </c>
      <c r="G84" s="8">
        <f>Data!L84</f>
        <v>145014.87</v>
      </c>
      <c r="H84" t="str">
        <f>Data!K84</f>
        <v>Sufficient</v>
      </c>
      <c r="I84" s="22">
        <f t="shared" si="2"/>
        <v>0</v>
      </c>
      <c r="J84" s="22" t="str">
        <f t="shared" si="3"/>
        <v>Low Risk</v>
      </c>
    </row>
    <row r="85" spans="1:10" x14ac:dyDescent="0.3">
      <c r="A85" t="str">
        <f>Data!A85</f>
        <v>ELE0084</v>
      </c>
      <c r="B85" t="str">
        <f>Data!B85</f>
        <v>Electronics Item 84</v>
      </c>
      <c r="C85" t="str">
        <f>Data!C85</f>
        <v>Category A</v>
      </c>
      <c r="D85" t="str">
        <f>Data!G85</f>
        <v>Supplier Y</v>
      </c>
      <c r="E85" s="2">
        <f>Data!D85</f>
        <v>33</v>
      </c>
      <c r="F85" s="2">
        <f>Data!E85</f>
        <v>112</v>
      </c>
      <c r="G85" s="8">
        <f>Data!L85</f>
        <v>16237.65</v>
      </c>
      <c r="H85" t="str">
        <f>Data!K85</f>
        <v>Below Reorder</v>
      </c>
      <c r="I85" s="22">
        <f t="shared" si="2"/>
        <v>71</v>
      </c>
      <c r="J85" s="22" t="str">
        <f t="shared" si="3"/>
        <v>High Risk</v>
      </c>
    </row>
    <row r="86" spans="1:10" x14ac:dyDescent="0.3">
      <c r="A86" t="str">
        <f>Data!A86</f>
        <v>ELE0085</v>
      </c>
      <c r="B86" t="str">
        <f>Data!B86</f>
        <v>Electronics Item 85</v>
      </c>
      <c r="C86" t="str">
        <f>Data!C86</f>
        <v>Category B</v>
      </c>
      <c r="D86" t="str">
        <f>Data!G86</f>
        <v>Supplier Y</v>
      </c>
      <c r="E86" s="2">
        <f>Data!D86</f>
        <v>463</v>
      </c>
      <c r="F86" s="2">
        <f>Data!E86</f>
        <v>197</v>
      </c>
      <c r="G86" s="8">
        <f>Data!L86</f>
        <v>46878.75</v>
      </c>
      <c r="H86" t="str">
        <f>Data!K86</f>
        <v>Sufficient</v>
      </c>
      <c r="I86" s="22">
        <f t="shared" si="2"/>
        <v>0</v>
      </c>
      <c r="J86" s="22" t="str">
        <f t="shared" si="3"/>
        <v>Low Risk</v>
      </c>
    </row>
    <row r="87" spans="1:10" x14ac:dyDescent="0.3">
      <c r="A87" t="str">
        <f>Data!A87</f>
        <v>ELE0086</v>
      </c>
      <c r="B87" t="str">
        <f>Data!B87</f>
        <v>Electronics Item 86</v>
      </c>
      <c r="C87" t="str">
        <f>Data!C87</f>
        <v>Category A</v>
      </c>
      <c r="D87" t="str">
        <f>Data!G87</f>
        <v>Supplier Y</v>
      </c>
      <c r="E87" s="2">
        <f>Data!D87</f>
        <v>134</v>
      </c>
      <c r="F87" s="2">
        <f>Data!E87</f>
        <v>87</v>
      </c>
      <c r="G87" s="8">
        <f>Data!L87</f>
        <v>44186.5</v>
      </c>
      <c r="H87" t="str">
        <f>Data!K87</f>
        <v>Sufficient</v>
      </c>
      <c r="I87" s="22">
        <f t="shared" si="2"/>
        <v>0</v>
      </c>
      <c r="J87" s="22" t="str">
        <f t="shared" si="3"/>
        <v>Low Risk</v>
      </c>
    </row>
    <row r="88" spans="1:10" x14ac:dyDescent="0.3">
      <c r="A88" t="str">
        <f>Data!A88</f>
        <v>ELE0087</v>
      </c>
      <c r="B88" t="str">
        <f>Data!B88</f>
        <v>Electronics Item 87</v>
      </c>
      <c r="C88" t="str">
        <f>Data!C88</f>
        <v>Category A</v>
      </c>
      <c r="D88" t="str">
        <f>Data!G88</f>
        <v>Supplier X</v>
      </c>
      <c r="E88" s="2">
        <f>Data!D88</f>
        <v>100</v>
      </c>
      <c r="F88" s="2">
        <f>Data!E88</f>
        <v>182</v>
      </c>
      <c r="G88" s="8">
        <f>Data!L88</f>
        <v>23495</v>
      </c>
      <c r="H88" t="str">
        <f>Data!K88</f>
        <v>Below Reorder</v>
      </c>
      <c r="I88" s="22">
        <f t="shared" si="2"/>
        <v>45</v>
      </c>
      <c r="J88" s="22" t="str">
        <f t="shared" si="3"/>
        <v>High Risk</v>
      </c>
    </row>
    <row r="89" spans="1:10" x14ac:dyDescent="0.3">
      <c r="A89" t="str">
        <f>Data!A89</f>
        <v>ELE0088</v>
      </c>
      <c r="B89" t="str">
        <f>Data!B89</f>
        <v>Electronics Item 88</v>
      </c>
      <c r="C89" t="str">
        <f>Data!C89</f>
        <v>Category C</v>
      </c>
      <c r="D89" t="str">
        <f>Data!G89</f>
        <v>Supplier Y</v>
      </c>
      <c r="E89" s="2">
        <f>Data!D89</f>
        <v>78</v>
      </c>
      <c r="F89" s="2">
        <f>Data!E89</f>
        <v>168</v>
      </c>
      <c r="G89" s="8">
        <f>Data!L89</f>
        <v>26165.1</v>
      </c>
      <c r="H89" t="str">
        <f>Data!K89</f>
        <v>Below Reorder</v>
      </c>
      <c r="I89" s="22">
        <f t="shared" si="2"/>
        <v>54</v>
      </c>
      <c r="J89" s="22" t="str">
        <f t="shared" si="3"/>
        <v>High Risk</v>
      </c>
    </row>
    <row r="90" spans="1:10" x14ac:dyDescent="0.3">
      <c r="A90" t="str">
        <f>Data!A90</f>
        <v>ELE0089</v>
      </c>
      <c r="B90" t="str">
        <f>Data!B90</f>
        <v>Electronics Item 89</v>
      </c>
      <c r="C90" t="str">
        <f>Data!C90</f>
        <v>Category C</v>
      </c>
      <c r="D90" t="str">
        <f>Data!G90</f>
        <v>Supplier Y</v>
      </c>
      <c r="E90" s="2">
        <f>Data!D90</f>
        <v>323</v>
      </c>
      <c r="F90" s="2">
        <f>Data!E90</f>
        <v>179</v>
      </c>
      <c r="G90" s="8">
        <f>Data!L90</f>
        <v>69845.52</v>
      </c>
      <c r="H90" t="str">
        <f>Data!K90</f>
        <v>Sufficient</v>
      </c>
      <c r="I90" s="22">
        <f t="shared" si="2"/>
        <v>0</v>
      </c>
      <c r="J90" s="22" t="str">
        <f t="shared" si="3"/>
        <v>Low Risk</v>
      </c>
    </row>
    <row r="91" spans="1:10" x14ac:dyDescent="0.3">
      <c r="A91" t="str">
        <f>Data!A91</f>
        <v>ELE0090</v>
      </c>
      <c r="B91" t="str">
        <f>Data!B91</f>
        <v>Electronics Item 90</v>
      </c>
      <c r="C91" t="str">
        <f>Data!C91</f>
        <v>Category A</v>
      </c>
      <c r="D91" t="str">
        <f>Data!G91</f>
        <v>Supplier Z</v>
      </c>
      <c r="E91" s="2">
        <f>Data!D91</f>
        <v>390</v>
      </c>
      <c r="F91" s="2">
        <f>Data!E91</f>
        <v>171</v>
      </c>
      <c r="G91" s="8">
        <f>Data!L91</f>
        <v>88834.2</v>
      </c>
      <c r="H91" t="str">
        <f>Data!K91</f>
        <v>Sufficient</v>
      </c>
      <c r="I91" s="22">
        <f t="shared" si="2"/>
        <v>0</v>
      </c>
      <c r="J91" s="22" t="str">
        <f t="shared" si="3"/>
        <v>Low Risk</v>
      </c>
    </row>
    <row r="92" spans="1:10" x14ac:dyDescent="0.3">
      <c r="A92" t="str">
        <f>Data!A92</f>
        <v>ELE0091</v>
      </c>
      <c r="B92" t="str">
        <f>Data!B92</f>
        <v>Electronics Item 91</v>
      </c>
      <c r="C92" t="str">
        <f>Data!C92</f>
        <v>Category B</v>
      </c>
      <c r="D92" t="str">
        <f>Data!G92</f>
        <v>Supplier Y</v>
      </c>
      <c r="E92" s="2">
        <f>Data!D92</f>
        <v>402</v>
      </c>
      <c r="F92" s="2">
        <f>Data!E92</f>
        <v>183</v>
      </c>
      <c r="G92" s="8">
        <f>Data!L92</f>
        <v>98441.76</v>
      </c>
      <c r="H92" t="str">
        <f>Data!K92</f>
        <v>Sufficient</v>
      </c>
      <c r="I92" s="22">
        <f t="shared" si="2"/>
        <v>0</v>
      </c>
      <c r="J92" s="22" t="str">
        <f t="shared" si="3"/>
        <v>Low Risk</v>
      </c>
    </row>
    <row r="93" spans="1:10" x14ac:dyDescent="0.3">
      <c r="A93" t="str">
        <f>Data!A93</f>
        <v>ELE0092</v>
      </c>
      <c r="B93" t="str">
        <f>Data!B93</f>
        <v>Electronics Item 92</v>
      </c>
      <c r="C93" t="str">
        <f>Data!C93</f>
        <v>Category B</v>
      </c>
      <c r="D93" t="str">
        <f>Data!G93</f>
        <v>Supplier Z</v>
      </c>
      <c r="E93" s="2">
        <f>Data!D93</f>
        <v>375</v>
      </c>
      <c r="F93" s="2">
        <f>Data!E93</f>
        <v>123</v>
      </c>
      <c r="G93" s="8">
        <f>Data!L93</f>
        <v>45401.25</v>
      </c>
      <c r="H93" t="str">
        <f>Data!K93</f>
        <v>Sufficient</v>
      </c>
      <c r="I93" s="22">
        <f t="shared" si="2"/>
        <v>0</v>
      </c>
      <c r="J93" s="22" t="str">
        <f t="shared" si="3"/>
        <v>Low Risk</v>
      </c>
    </row>
    <row r="94" spans="1:10" x14ac:dyDescent="0.3">
      <c r="A94" t="str">
        <f>Data!A94</f>
        <v>ELE0093</v>
      </c>
      <c r="B94" t="str">
        <f>Data!B94</f>
        <v>Electronics Item 93</v>
      </c>
      <c r="C94" t="str">
        <f>Data!C94</f>
        <v>Category A</v>
      </c>
      <c r="D94" t="str">
        <f>Data!G94</f>
        <v>Supplier Z</v>
      </c>
      <c r="E94" s="2">
        <f>Data!D94</f>
        <v>80</v>
      </c>
      <c r="F94" s="2">
        <f>Data!E94</f>
        <v>88</v>
      </c>
      <c r="G94" s="8">
        <f>Data!L94</f>
        <v>9557.6</v>
      </c>
      <c r="H94" t="str">
        <f>Data!K94</f>
        <v>Below Reorder</v>
      </c>
      <c r="I94" s="22">
        <f t="shared" si="2"/>
        <v>9</v>
      </c>
      <c r="J94" s="22" t="str">
        <f t="shared" si="3"/>
        <v>High Risk</v>
      </c>
    </row>
    <row r="95" spans="1:10" x14ac:dyDescent="0.3">
      <c r="A95" t="str">
        <f>Data!A95</f>
        <v>ELE0094</v>
      </c>
      <c r="B95" t="str">
        <f>Data!B95</f>
        <v>Electronics Item 94</v>
      </c>
      <c r="C95" t="str">
        <f>Data!C95</f>
        <v>Category B</v>
      </c>
      <c r="D95" t="str">
        <f>Data!G95</f>
        <v>Supplier Y</v>
      </c>
      <c r="E95" s="2">
        <f>Data!D95</f>
        <v>42</v>
      </c>
      <c r="F95" s="2">
        <f>Data!E95</f>
        <v>156</v>
      </c>
      <c r="G95" s="8">
        <f>Data!L95</f>
        <v>8683.92</v>
      </c>
      <c r="H95" t="str">
        <f>Data!K95</f>
        <v>Below Reorder</v>
      </c>
      <c r="I95" s="22">
        <f t="shared" si="2"/>
        <v>73</v>
      </c>
      <c r="J95" s="22" t="str">
        <f t="shared" si="3"/>
        <v>High Risk</v>
      </c>
    </row>
    <row r="96" spans="1:10" x14ac:dyDescent="0.3">
      <c r="A96" t="str">
        <f>Data!A96</f>
        <v>ELE0095</v>
      </c>
      <c r="B96" t="str">
        <f>Data!B96</f>
        <v>Electronics Item 95</v>
      </c>
      <c r="C96" t="str">
        <f>Data!C96</f>
        <v>Category C</v>
      </c>
      <c r="D96" t="str">
        <f>Data!G96</f>
        <v>Supplier Z</v>
      </c>
      <c r="E96" s="2">
        <f>Data!D96</f>
        <v>115</v>
      </c>
      <c r="F96" s="2">
        <f>Data!E96</f>
        <v>157</v>
      </c>
      <c r="G96" s="8">
        <f>Data!L96</f>
        <v>22745.85</v>
      </c>
      <c r="H96" t="str">
        <f>Data!K96</f>
        <v>Below Reorder</v>
      </c>
      <c r="I96" s="22">
        <f t="shared" si="2"/>
        <v>27</v>
      </c>
      <c r="J96" s="22" t="str">
        <f t="shared" si="3"/>
        <v>High Risk</v>
      </c>
    </row>
    <row r="97" spans="1:10" x14ac:dyDescent="0.3">
      <c r="A97" t="str">
        <f>Data!A97</f>
        <v>ELE0096</v>
      </c>
      <c r="B97" t="str">
        <f>Data!B97</f>
        <v>Electronics Item 96</v>
      </c>
      <c r="C97" t="str">
        <f>Data!C97</f>
        <v>Category B</v>
      </c>
      <c r="D97" t="str">
        <f>Data!G97</f>
        <v>Supplier Y</v>
      </c>
      <c r="E97" s="2">
        <f>Data!D97</f>
        <v>448</v>
      </c>
      <c r="F97" s="2">
        <f>Data!E97</f>
        <v>197</v>
      </c>
      <c r="G97" s="8">
        <f>Data!L97</f>
        <v>86593.919999999998</v>
      </c>
      <c r="H97" t="str">
        <f>Data!K97</f>
        <v>Sufficient</v>
      </c>
      <c r="I97" s="22">
        <f t="shared" si="2"/>
        <v>0</v>
      </c>
      <c r="J97" s="22" t="str">
        <f t="shared" si="3"/>
        <v>Low Risk</v>
      </c>
    </row>
    <row r="98" spans="1:10" x14ac:dyDescent="0.3">
      <c r="A98" t="str">
        <f>Data!A98</f>
        <v>ELE0097</v>
      </c>
      <c r="B98" t="str">
        <f>Data!B98</f>
        <v>Electronics Item 97</v>
      </c>
      <c r="C98" t="str">
        <f>Data!C98</f>
        <v>Category C</v>
      </c>
      <c r="D98" t="str">
        <f>Data!G98</f>
        <v>Supplier Z</v>
      </c>
      <c r="E98" s="2">
        <f>Data!D98</f>
        <v>446</v>
      </c>
      <c r="F98" s="2">
        <f>Data!E98</f>
        <v>157</v>
      </c>
      <c r="G98" s="8">
        <f>Data!L98</f>
        <v>121053.32</v>
      </c>
      <c r="H98" t="str">
        <f>Data!K98</f>
        <v>Sufficient</v>
      </c>
      <c r="I98" s="22">
        <f t="shared" si="2"/>
        <v>0</v>
      </c>
      <c r="J98" s="22" t="str">
        <f t="shared" si="3"/>
        <v>Low Risk</v>
      </c>
    </row>
    <row r="99" spans="1:10" x14ac:dyDescent="0.3">
      <c r="A99" t="str">
        <f>Data!A99</f>
        <v>ELE0098</v>
      </c>
      <c r="B99" t="str">
        <f>Data!B99</f>
        <v>Electronics Item 98</v>
      </c>
      <c r="C99" t="str">
        <f>Data!C99</f>
        <v>Category A</v>
      </c>
      <c r="D99" t="str">
        <f>Data!G99</f>
        <v>Supplier Y</v>
      </c>
      <c r="E99" s="2">
        <f>Data!D99</f>
        <v>259</v>
      </c>
      <c r="F99" s="2">
        <f>Data!E99</f>
        <v>106</v>
      </c>
      <c r="G99" s="8">
        <f>Data!L99</f>
        <v>36285.9</v>
      </c>
      <c r="H99" t="str">
        <f>Data!K99</f>
        <v>Sufficient</v>
      </c>
      <c r="I99" s="22">
        <f t="shared" si="2"/>
        <v>0</v>
      </c>
      <c r="J99" s="22" t="str">
        <f t="shared" si="3"/>
        <v>Low Risk</v>
      </c>
    </row>
    <row r="100" spans="1:10" x14ac:dyDescent="0.3">
      <c r="A100" t="str">
        <f>Data!A100</f>
        <v>ELE0099</v>
      </c>
      <c r="B100" t="str">
        <f>Data!B100</f>
        <v>Electronics Item 99</v>
      </c>
      <c r="C100" t="str">
        <f>Data!C100</f>
        <v>Category B</v>
      </c>
      <c r="D100" t="str">
        <f>Data!G100</f>
        <v>Supplier X</v>
      </c>
      <c r="E100" s="2">
        <f>Data!D100</f>
        <v>352</v>
      </c>
      <c r="F100" s="2">
        <f>Data!E100</f>
        <v>153</v>
      </c>
      <c r="G100" s="8">
        <f>Data!L100</f>
        <v>127941.44</v>
      </c>
      <c r="H100" t="str">
        <f>Data!K100</f>
        <v>Sufficient</v>
      </c>
      <c r="I100" s="22">
        <f t="shared" si="2"/>
        <v>0</v>
      </c>
      <c r="J100" s="22" t="str">
        <f t="shared" si="3"/>
        <v>Low Risk</v>
      </c>
    </row>
    <row r="101" spans="1:10" x14ac:dyDescent="0.3">
      <c r="A101" t="str">
        <f>Data!A101</f>
        <v>ELE0100</v>
      </c>
      <c r="B101" t="str">
        <f>Data!B101</f>
        <v>Electronics Item 100</v>
      </c>
      <c r="C101" t="str">
        <f>Data!C101</f>
        <v>Category C</v>
      </c>
      <c r="D101" t="str">
        <f>Data!G101</f>
        <v>Supplier Z</v>
      </c>
      <c r="E101" s="2">
        <f>Data!D101</f>
        <v>283</v>
      </c>
      <c r="F101" s="2">
        <f>Data!E101</f>
        <v>56</v>
      </c>
      <c r="G101" s="8">
        <f>Data!L101</f>
        <v>128462.19</v>
      </c>
      <c r="H101" t="str">
        <f>Data!K101</f>
        <v>Sufficient</v>
      </c>
      <c r="I101" s="22">
        <f t="shared" si="2"/>
        <v>0</v>
      </c>
      <c r="J101" s="22" t="str">
        <f t="shared" si="3"/>
        <v>Low Risk</v>
      </c>
    </row>
    <row r="102" spans="1:10" x14ac:dyDescent="0.3">
      <c r="A102" t="str">
        <f>Data!A102</f>
        <v>ELE0101</v>
      </c>
      <c r="B102" t="str">
        <f>Data!B102</f>
        <v>Electronics Item 101</v>
      </c>
      <c r="C102" t="str">
        <f>Data!C102</f>
        <v>Category A</v>
      </c>
      <c r="D102" t="str">
        <f>Data!G102</f>
        <v>Supplier X</v>
      </c>
      <c r="E102" s="2">
        <f>Data!D102</f>
        <v>52</v>
      </c>
      <c r="F102" s="2">
        <f>Data!E102</f>
        <v>159</v>
      </c>
      <c r="G102" s="8">
        <f>Data!L102</f>
        <v>3752.84</v>
      </c>
      <c r="H102" t="str">
        <f>Data!K102</f>
        <v>Below Reorder</v>
      </c>
      <c r="I102" s="22">
        <f t="shared" si="2"/>
        <v>67</v>
      </c>
      <c r="J102" s="22" t="str">
        <f t="shared" si="3"/>
        <v>High Risk</v>
      </c>
    </row>
    <row r="103" spans="1:10" x14ac:dyDescent="0.3">
      <c r="A103" t="str">
        <f>Data!A103</f>
        <v>ELE0102</v>
      </c>
      <c r="B103" t="str">
        <f>Data!B103</f>
        <v>Electronics Item 102</v>
      </c>
      <c r="C103" t="str">
        <f>Data!C103</f>
        <v>Category B</v>
      </c>
      <c r="D103" t="str">
        <f>Data!G103</f>
        <v>Supplier Y</v>
      </c>
      <c r="E103" s="2">
        <f>Data!D103</f>
        <v>204</v>
      </c>
      <c r="F103" s="2">
        <f>Data!E103</f>
        <v>133</v>
      </c>
      <c r="G103" s="8">
        <f>Data!L103</f>
        <v>22393.08</v>
      </c>
      <c r="H103" t="str">
        <f>Data!K103</f>
        <v>Sufficient</v>
      </c>
      <c r="I103" s="22">
        <f t="shared" si="2"/>
        <v>0</v>
      </c>
      <c r="J103" s="22" t="str">
        <f t="shared" si="3"/>
        <v>Low Risk</v>
      </c>
    </row>
    <row r="104" spans="1:10" x14ac:dyDescent="0.3">
      <c r="A104" t="str">
        <f>Data!A104</f>
        <v>ELE0103</v>
      </c>
      <c r="B104" t="str">
        <f>Data!B104</f>
        <v>Electronics Item 103</v>
      </c>
      <c r="C104" t="str">
        <f>Data!C104</f>
        <v>Category B</v>
      </c>
      <c r="D104" t="str">
        <f>Data!G104</f>
        <v>Supplier X</v>
      </c>
      <c r="E104" s="2">
        <f>Data!D104</f>
        <v>395</v>
      </c>
      <c r="F104" s="2">
        <f>Data!E104</f>
        <v>157</v>
      </c>
      <c r="G104" s="8">
        <f>Data!L104</f>
        <v>51298.65</v>
      </c>
      <c r="H104" t="str">
        <f>Data!K104</f>
        <v>Sufficient</v>
      </c>
      <c r="I104" s="22">
        <f t="shared" si="2"/>
        <v>0</v>
      </c>
      <c r="J104" s="22" t="str">
        <f t="shared" si="3"/>
        <v>Low Risk</v>
      </c>
    </row>
    <row r="105" spans="1:10" x14ac:dyDescent="0.3">
      <c r="A105" t="str">
        <f>Data!A105</f>
        <v>ELE0104</v>
      </c>
      <c r="B105" t="str">
        <f>Data!B105</f>
        <v>Electronics Item 104</v>
      </c>
      <c r="C105" t="str">
        <f>Data!C105</f>
        <v>Category A</v>
      </c>
      <c r="D105" t="str">
        <f>Data!G105</f>
        <v>Supplier Z</v>
      </c>
      <c r="E105" s="2">
        <f>Data!D105</f>
        <v>286</v>
      </c>
      <c r="F105" s="2">
        <f>Data!E105</f>
        <v>63</v>
      </c>
      <c r="G105" s="8">
        <f>Data!L105</f>
        <v>142985.70000000001</v>
      </c>
      <c r="H105" t="str">
        <f>Data!K105</f>
        <v>Sufficient</v>
      </c>
      <c r="I105" s="22">
        <f t="shared" si="2"/>
        <v>0</v>
      </c>
      <c r="J105" s="22" t="str">
        <f t="shared" si="3"/>
        <v>Low Risk</v>
      </c>
    </row>
    <row r="106" spans="1:10" x14ac:dyDescent="0.3">
      <c r="A106" t="str">
        <f>Data!A106</f>
        <v>ELE0105</v>
      </c>
      <c r="B106" t="str">
        <f>Data!B106</f>
        <v>Electronics Item 105</v>
      </c>
      <c r="C106" t="str">
        <f>Data!C106</f>
        <v>Category A</v>
      </c>
      <c r="D106" t="str">
        <f>Data!G106</f>
        <v>Supplier X</v>
      </c>
      <c r="E106" s="2">
        <f>Data!D106</f>
        <v>409</v>
      </c>
      <c r="F106" s="2">
        <f>Data!E106</f>
        <v>60</v>
      </c>
      <c r="G106" s="8">
        <f>Data!L106</f>
        <v>154745.15</v>
      </c>
      <c r="H106" t="str">
        <f>Data!K106</f>
        <v>Sufficient</v>
      </c>
      <c r="I106" s="22">
        <f t="shared" si="2"/>
        <v>0</v>
      </c>
      <c r="J106" s="22" t="str">
        <f t="shared" si="3"/>
        <v>Low Risk</v>
      </c>
    </row>
    <row r="107" spans="1:10" x14ac:dyDescent="0.3">
      <c r="A107" t="str">
        <f>Data!A107</f>
        <v>ELE0106</v>
      </c>
      <c r="B107" t="str">
        <f>Data!B107</f>
        <v>Electronics Item 106</v>
      </c>
      <c r="C107" t="str">
        <f>Data!C107</f>
        <v>Category C</v>
      </c>
      <c r="D107" t="str">
        <f>Data!G107</f>
        <v>Supplier X</v>
      </c>
      <c r="E107" s="2">
        <f>Data!D107</f>
        <v>328</v>
      </c>
      <c r="F107" s="2">
        <f>Data!E107</f>
        <v>89</v>
      </c>
      <c r="G107" s="8">
        <f>Data!L107</f>
        <v>40370.239999999998</v>
      </c>
      <c r="H107" t="str">
        <f>Data!K107</f>
        <v>Sufficient</v>
      </c>
      <c r="I107" s="22">
        <f t="shared" si="2"/>
        <v>0</v>
      </c>
      <c r="J107" s="22" t="str">
        <f t="shared" si="3"/>
        <v>Low Risk</v>
      </c>
    </row>
    <row r="108" spans="1:10" x14ac:dyDescent="0.3">
      <c r="A108" t="str">
        <f>Data!A108</f>
        <v>ELE0107</v>
      </c>
      <c r="B108" t="str">
        <f>Data!B108</f>
        <v>Electronics Item 107</v>
      </c>
      <c r="C108" t="str">
        <f>Data!C108</f>
        <v>Category B</v>
      </c>
      <c r="D108" t="str">
        <f>Data!G108</f>
        <v>Supplier X</v>
      </c>
      <c r="E108" s="2">
        <f>Data!D108</f>
        <v>495</v>
      </c>
      <c r="F108" s="2">
        <f>Data!E108</f>
        <v>105</v>
      </c>
      <c r="G108" s="8">
        <f>Data!L108</f>
        <v>116419.05</v>
      </c>
      <c r="H108" t="str">
        <f>Data!K108</f>
        <v>Sufficient</v>
      </c>
      <c r="I108" s="22">
        <f t="shared" si="2"/>
        <v>0</v>
      </c>
      <c r="J108" s="22" t="str">
        <f t="shared" si="3"/>
        <v>Low Risk</v>
      </c>
    </row>
    <row r="109" spans="1:10" x14ac:dyDescent="0.3">
      <c r="A109" t="str">
        <f>Data!A109</f>
        <v>ELE0108</v>
      </c>
      <c r="B109" t="str">
        <f>Data!B109</f>
        <v>Electronics Item 108</v>
      </c>
      <c r="C109" t="str">
        <f>Data!C109</f>
        <v>Category B</v>
      </c>
      <c r="D109" t="str">
        <f>Data!G109</f>
        <v>Supplier X</v>
      </c>
      <c r="E109" s="2">
        <f>Data!D109</f>
        <v>320</v>
      </c>
      <c r="F109" s="2">
        <f>Data!E109</f>
        <v>79</v>
      </c>
      <c r="G109" s="8">
        <f>Data!L109</f>
        <v>124803.2</v>
      </c>
      <c r="H109" t="str">
        <f>Data!K109</f>
        <v>Sufficient</v>
      </c>
      <c r="I109" s="22">
        <f t="shared" si="2"/>
        <v>0</v>
      </c>
      <c r="J109" s="22" t="str">
        <f t="shared" si="3"/>
        <v>Low Risk</v>
      </c>
    </row>
    <row r="110" spans="1:10" x14ac:dyDescent="0.3">
      <c r="A110" t="str">
        <f>Data!A110</f>
        <v>ELE0109</v>
      </c>
      <c r="B110" t="str">
        <f>Data!B110</f>
        <v>Electronics Item 109</v>
      </c>
      <c r="C110" t="str">
        <f>Data!C110</f>
        <v>Category B</v>
      </c>
      <c r="D110" t="str">
        <f>Data!G110</f>
        <v>Supplier Y</v>
      </c>
      <c r="E110" s="2">
        <f>Data!D110</f>
        <v>23</v>
      </c>
      <c r="F110" s="2">
        <f>Data!E110</f>
        <v>129</v>
      </c>
      <c r="G110" s="8">
        <f>Data!L110</f>
        <v>6670.46</v>
      </c>
      <c r="H110" t="str">
        <f>Data!K110</f>
        <v>Below Reorder</v>
      </c>
      <c r="I110" s="22">
        <f t="shared" si="2"/>
        <v>82</v>
      </c>
      <c r="J110" s="22" t="str">
        <f t="shared" si="3"/>
        <v>High Risk</v>
      </c>
    </row>
    <row r="111" spans="1:10" x14ac:dyDescent="0.3">
      <c r="A111" t="str">
        <f>Data!A111</f>
        <v>ELE0110</v>
      </c>
      <c r="B111" t="str">
        <f>Data!B111</f>
        <v>Electronics Item 110</v>
      </c>
      <c r="C111" t="str">
        <f>Data!C111</f>
        <v>Category C</v>
      </c>
      <c r="D111" t="str">
        <f>Data!G111</f>
        <v>Supplier X</v>
      </c>
      <c r="E111" s="2">
        <f>Data!D111</f>
        <v>111</v>
      </c>
      <c r="F111" s="2">
        <f>Data!E111</f>
        <v>69</v>
      </c>
      <c r="G111" s="8">
        <f>Data!L111</f>
        <v>33087.99</v>
      </c>
      <c r="H111" t="str">
        <f>Data!K111</f>
        <v>Sufficient</v>
      </c>
      <c r="I111" s="22">
        <f t="shared" si="2"/>
        <v>0</v>
      </c>
      <c r="J111" s="22" t="str">
        <f t="shared" si="3"/>
        <v>Low Risk</v>
      </c>
    </row>
    <row r="112" spans="1:10" x14ac:dyDescent="0.3">
      <c r="A112" t="str">
        <f>Data!A112</f>
        <v>ELE0111</v>
      </c>
      <c r="B112" t="str">
        <f>Data!B112</f>
        <v>Electronics Item 111</v>
      </c>
      <c r="C112" t="str">
        <f>Data!C112</f>
        <v>Category A</v>
      </c>
      <c r="D112" t="str">
        <f>Data!G112</f>
        <v>Supplier Z</v>
      </c>
      <c r="E112" s="2">
        <f>Data!D112</f>
        <v>366</v>
      </c>
      <c r="F112" s="2">
        <f>Data!E112</f>
        <v>127</v>
      </c>
      <c r="G112" s="8">
        <f>Data!L112</f>
        <v>155879.4</v>
      </c>
      <c r="H112" t="str">
        <f>Data!K112</f>
        <v>Sufficient</v>
      </c>
      <c r="I112" s="22">
        <f t="shared" si="2"/>
        <v>0</v>
      </c>
      <c r="J112" s="22" t="str">
        <f t="shared" si="3"/>
        <v>Low Risk</v>
      </c>
    </row>
    <row r="113" spans="1:10" x14ac:dyDescent="0.3">
      <c r="A113" t="str">
        <f>Data!A113</f>
        <v>ELE0112</v>
      </c>
      <c r="B113" t="str">
        <f>Data!B113</f>
        <v>Electronics Item 112</v>
      </c>
      <c r="C113" t="str">
        <f>Data!C113</f>
        <v>Category A</v>
      </c>
      <c r="D113" t="str">
        <f>Data!G113</f>
        <v>Supplier Z</v>
      </c>
      <c r="E113" s="2">
        <f>Data!D113</f>
        <v>187</v>
      </c>
      <c r="F113" s="2">
        <f>Data!E113</f>
        <v>186</v>
      </c>
      <c r="G113" s="8">
        <f>Data!L113</f>
        <v>40588.35</v>
      </c>
      <c r="H113" t="str">
        <f>Data!K113</f>
        <v>Sufficient</v>
      </c>
      <c r="I113" s="22">
        <f t="shared" si="2"/>
        <v>0</v>
      </c>
      <c r="J113" s="22" t="str">
        <f t="shared" si="3"/>
        <v>Low Risk</v>
      </c>
    </row>
    <row r="114" spans="1:10" x14ac:dyDescent="0.3">
      <c r="A114" t="str">
        <f>Data!A114</f>
        <v>ELE0113</v>
      </c>
      <c r="B114" t="str">
        <f>Data!B114</f>
        <v>Electronics Item 113</v>
      </c>
      <c r="C114" t="str">
        <f>Data!C114</f>
        <v>Category B</v>
      </c>
      <c r="D114" t="str">
        <f>Data!G114</f>
        <v>Supplier X</v>
      </c>
      <c r="E114" s="2">
        <f>Data!D114</f>
        <v>184</v>
      </c>
      <c r="F114" s="2">
        <f>Data!E114</f>
        <v>53</v>
      </c>
      <c r="G114" s="8">
        <f>Data!L114</f>
        <v>78299.360000000001</v>
      </c>
      <c r="H114" t="str">
        <f>Data!K114</f>
        <v>Sufficient</v>
      </c>
      <c r="I114" s="22">
        <f t="shared" si="2"/>
        <v>0</v>
      </c>
      <c r="J114" s="22" t="str">
        <f t="shared" si="3"/>
        <v>Low Risk</v>
      </c>
    </row>
    <row r="115" spans="1:10" x14ac:dyDescent="0.3">
      <c r="A115" t="str">
        <f>Data!A115</f>
        <v>ELE0114</v>
      </c>
      <c r="B115" t="str">
        <f>Data!B115</f>
        <v>Electronics Item 114</v>
      </c>
      <c r="C115" t="str">
        <f>Data!C115</f>
        <v>Category A</v>
      </c>
      <c r="D115" t="str">
        <f>Data!G115</f>
        <v>Supplier Z</v>
      </c>
      <c r="E115" s="2">
        <f>Data!D115</f>
        <v>195</v>
      </c>
      <c r="F115" s="2">
        <f>Data!E115</f>
        <v>167</v>
      </c>
      <c r="G115" s="8">
        <f>Data!L115</f>
        <v>69248.399999999994</v>
      </c>
      <c r="H115" t="str">
        <f>Data!K115</f>
        <v>Sufficient</v>
      </c>
      <c r="I115" s="22">
        <f t="shared" si="2"/>
        <v>0</v>
      </c>
      <c r="J115" s="22" t="str">
        <f t="shared" si="3"/>
        <v>Low Risk</v>
      </c>
    </row>
    <row r="116" spans="1:10" x14ac:dyDescent="0.3">
      <c r="A116" t="str">
        <f>Data!A116</f>
        <v>ELE0115</v>
      </c>
      <c r="B116" t="str">
        <f>Data!B116</f>
        <v>Electronics Item 115</v>
      </c>
      <c r="C116" t="str">
        <f>Data!C116</f>
        <v>Category C</v>
      </c>
      <c r="D116" t="str">
        <f>Data!G116</f>
        <v>Supplier Y</v>
      </c>
      <c r="E116" s="2">
        <f>Data!D116</f>
        <v>343</v>
      </c>
      <c r="F116" s="2">
        <f>Data!E116</f>
        <v>119</v>
      </c>
      <c r="G116" s="8">
        <f>Data!L116</f>
        <v>106288.84</v>
      </c>
      <c r="H116" t="str">
        <f>Data!K116</f>
        <v>Sufficient</v>
      </c>
      <c r="I116" s="22">
        <f t="shared" si="2"/>
        <v>0</v>
      </c>
      <c r="J116" s="22" t="str">
        <f t="shared" si="3"/>
        <v>Low Risk</v>
      </c>
    </row>
    <row r="117" spans="1:10" x14ac:dyDescent="0.3">
      <c r="A117" t="str">
        <f>Data!A117</f>
        <v>ELE0116</v>
      </c>
      <c r="B117" t="str">
        <f>Data!B117</f>
        <v>Electronics Item 116</v>
      </c>
      <c r="C117" t="str">
        <f>Data!C117</f>
        <v>Category A</v>
      </c>
      <c r="D117" t="str">
        <f>Data!G117</f>
        <v>Supplier Y</v>
      </c>
      <c r="E117" s="2">
        <f>Data!D117</f>
        <v>233</v>
      </c>
      <c r="F117" s="2">
        <f>Data!E117</f>
        <v>118</v>
      </c>
      <c r="G117" s="8">
        <f>Data!L117</f>
        <v>38337.82</v>
      </c>
      <c r="H117" t="str">
        <f>Data!K117</f>
        <v>Sufficient</v>
      </c>
      <c r="I117" s="22">
        <f t="shared" si="2"/>
        <v>0</v>
      </c>
      <c r="J117" s="22" t="str">
        <f t="shared" si="3"/>
        <v>Low Risk</v>
      </c>
    </row>
    <row r="118" spans="1:10" x14ac:dyDescent="0.3">
      <c r="A118" t="str">
        <f>Data!A118</f>
        <v>ELE0117</v>
      </c>
      <c r="B118" t="str">
        <f>Data!B118</f>
        <v>Electronics Item 117</v>
      </c>
      <c r="C118" t="str">
        <f>Data!C118</f>
        <v>Category B</v>
      </c>
      <c r="D118" t="str">
        <f>Data!G118</f>
        <v>Supplier Y</v>
      </c>
      <c r="E118" s="2">
        <f>Data!D118</f>
        <v>134</v>
      </c>
      <c r="F118" s="2">
        <f>Data!E118</f>
        <v>168</v>
      </c>
      <c r="G118" s="8">
        <f>Data!L118</f>
        <v>38468.720000000001</v>
      </c>
      <c r="H118" t="str">
        <f>Data!K118</f>
        <v>Below Reorder</v>
      </c>
      <c r="I118" s="22">
        <f t="shared" si="2"/>
        <v>20</v>
      </c>
      <c r="J118" s="22" t="str">
        <f t="shared" si="3"/>
        <v>High Risk</v>
      </c>
    </row>
    <row r="119" spans="1:10" x14ac:dyDescent="0.3">
      <c r="A119" t="str">
        <f>Data!A119</f>
        <v>ELE0118</v>
      </c>
      <c r="B119" t="str">
        <f>Data!B119</f>
        <v>Electronics Item 118</v>
      </c>
      <c r="C119" t="str">
        <f>Data!C119</f>
        <v>Category B</v>
      </c>
      <c r="D119" t="str">
        <f>Data!G119</f>
        <v>Supplier Y</v>
      </c>
      <c r="E119" s="2">
        <f>Data!D119</f>
        <v>263</v>
      </c>
      <c r="F119" s="2">
        <f>Data!E119</f>
        <v>133</v>
      </c>
      <c r="G119" s="8">
        <f>Data!L119</f>
        <v>24987.63</v>
      </c>
      <c r="H119" t="str">
        <f>Data!K119</f>
        <v>Sufficient</v>
      </c>
      <c r="I119" s="22">
        <f t="shared" si="2"/>
        <v>0</v>
      </c>
      <c r="J119" s="22" t="str">
        <f t="shared" si="3"/>
        <v>Low Risk</v>
      </c>
    </row>
    <row r="120" spans="1:10" x14ac:dyDescent="0.3">
      <c r="A120" t="str">
        <f>Data!A120</f>
        <v>ELE0119</v>
      </c>
      <c r="B120" t="str">
        <f>Data!B120</f>
        <v>Electronics Item 119</v>
      </c>
      <c r="C120" t="str">
        <f>Data!C120</f>
        <v>Category A</v>
      </c>
      <c r="D120" t="str">
        <f>Data!G120</f>
        <v>Supplier X</v>
      </c>
      <c r="E120" s="2">
        <f>Data!D120</f>
        <v>153</v>
      </c>
      <c r="F120" s="2">
        <f>Data!E120</f>
        <v>120</v>
      </c>
      <c r="G120" s="8">
        <f>Data!L120</f>
        <v>42858.36</v>
      </c>
      <c r="H120" t="str">
        <f>Data!K120</f>
        <v>Sufficient</v>
      </c>
      <c r="I120" s="22">
        <f t="shared" si="2"/>
        <v>0</v>
      </c>
      <c r="J120" s="22" t="str">
        <f t="shared" si="3"/>
        <v>Low Risk</v>
      </c>
    </row>
    <row r="121" spans="1:10" x14ac:dyDescent="0.3">
      <c r="A121" t="str">
        <f>Data!A121</f>
        <v>ELE0120</v>
      </c>
      <c r="B121" t="str">
        <f>Data!B121</f>
        <v>Electronics Item 120</v>
      </c>
      <c r="C121" t="str">
        <f>Data!C121</f>
        <v>Category A</v>
      </c>
      <c r="D121" t="str">
        <f>Data!G121</f>
        <v>Supplier Z</v>
      </c>
      <c r="E121" s="2">
        <f>Data!D121</f>
        <v>378</v>
      </c>
      <c r="F121" s="2">
        <f>Data!E121</f>
        <v>154</v>
      </c>
      <c r="G121" s="8">
        <f>Data!L121</f>
        <v>93309.3</v>
      </c>
      <c r="H121" t="str">
        <f>Data!K121</f>
        <v>Sufficient</v>
      </c>
      <c r="I121" s="22">
        <f t="shared" si="2"/>
        <v>0</v>
      </c>
      <c r="J121" s="22" t="str">
        <f t="shared" si="3"/>
        <v>Low Risk</v>
      </c>
    </row>
    <row r="122" spans="1:10" x14ac:dyDescent="0.3">
      <c r="A122" t="str">
        <f>Data!A122</f>
        <v>ELE0121</v>
      </c>
      <c r="B122" t="str">
        <f>Data!B122</f>
        <v>Electronics Item 121</v>
      </c>
      <c r="C122" t="str">
        <f>Data!C122</f>
        <v>Category A</v>
      </c>
      <c r="D122" t="str">
        <f>Data!G122</f>
        <v>Supplier Y</v>
      </c>
      <c r="E122" s="2">
        <f>Data!D122</f>
        <v>340</v>
      </c>
      <c r="F122" s="2">
        <f>Data!E122</f>
        <v>175</v>
      </c>
      <c r="G122" s="8">
        <f>Data!L122</f>
        <v>77129</v>
      </c>
      <c r="H122" t="str">
        <f>Data!K122</f>
        <v>Sufficient</v>
      </c>
      <c r="I122" s="22">
        <f t="shared" si="2"/>
        <v>0</v>
      </c>
      <c r="J122" s="22" t="str">
        <f t="shared" si="3"/>
        <v>Low Risk</v>
      </c>
    </row>
    <row r="123" spans="1:10" x14ac:dyDescent="0.3">
      <c r="A123" t="str">
        <f>Data!A123</f>
        <v>ELE0122</v>
      </c>
      <c r="B123" t="str">
        <f>Data!B123</f>
        <v>Electronics Item 122</v>
      </c>
      <c r="C123" t="str">
        <f>Data!C123</f>
        <v>Category B</v>
      </c>
      <c r="D123" t="str">
        <f>Data!G123</f>
        <v>Supplier Y</v>
      </c>
      <c r="E123" s="2">
        <f>Data!D123</f>
        <v>217</v>
      </c>
      <c r="F123" s="2">
        <f>Data!E123</f>
        <v>112</v>
      </c>
      <c r="G123" s="8">
        <f>Data!L123</f>
        <v>33975.69</v>
      </c>
      <c r="H123" t="str">
        <f>Data!K123</f>
        <v>Sufficient</v>
      </c>
      <c r="I123" s="22">
        <f t="shared" si="2"/>
        <v>0</v>
      </c>
      <c r="J123" s="22" t="str">
        <f t="shared" si="3"/>
        <v>Low Risk</v>
      </c>
    </row>
    <row r="124" spans="1:10" x14ac:dyDescent="0.3">
      <c r="A124" t="str">
        <f>Data!A124</f>
        <v>ELE0123</v>
      </c>
      <c r="B124" t="str">
        <f>Data!B124</f>
        <v>Electronics Item 123</v>
      </c>
      <c r="C124" t="str">
        <f>Data!C124</f>
        <v>Category C</v>
      </c>
      <c r="D124" t="str">
        <f>Data!G124</f>
        <v>Supplier Y</v>
      </c>
      <c r="E124" s="2">
        <f>Data!D124</f>
        <v>281</v>
      </c>
      <c r="F124" s="2">
        <f>Data!E124</f>
        <v>138</v>
      </c>
      <c r="G124" s="8">
        <f>Data!L124</f>
        <v>60589.22</v>
      </c>
      <c r="H124" t="str">
        <f>Data!K124</f>
        <v>Sufficient</v>
      </c>
      <c r="I124" s="22">
        <f t="shared" si="2"/>
        <v>0</v>
      </c>
      <c r="J124" s="22" t="str">
        <f t="shared" si="3"/>
        <v>Low Risk</v>
      </c>
    </row>
    <row r="125" spans="1:10" x14ac:dyDescent="0.3">
      <c r="A125" t="str">
        <f>Data!A125</f>
        <v>ELE0124</v>
      </c>
      <c r="B125" t="str">
        <f>Data!B125</f>
        <v>Electronics Item 124</v>
      </c>
      <c r="C125" t="str">
        <f>Data!C125</f>
        <v>Category A</v>
      </c>
      <c r="D125" t="str">
        <f>Data!G125</f>
        <v>Supplier X</v>
      </c>
      <c r="E125" s="2">
        <f>Data!D125</f>
        <v>369</v>
      </c>
      <c r="F125" s="2">
        <f>Data!E125</f>
        <v>166</v>
      </c>
      <c r="G125" s="8">
        <f>Data!L125</f>
        <v>51327.9</v>
      </c>
      <c r="H125" t="str">
        <f>Data!K125</f>
        <v>Sufficient</v>
      </c>
      <c r="I125" s="22">
        <f t="shared" si="2"/>
        <v>0</v>
      </c>
      <c r="J125" s="22" t="str">
        <f t="shared" si="3"/>
        <v>Low Risk</v>
      </c>
    </row>
    <row r="126" spans="1:10" x14ac:dyDescent="0.3">
      <c r="A126" t="str">
        <f>Data!A126</f>
        <v>ELE0125</v>
      </c>
      <c r="B126" t="str">
        <f>Data!B126</f>
        <v>Electronics Item 125</v>
      </c>
      <c r="C126" t="str">
        <f>Data!C126</f>
        <v>Category C</v>
      </c>
      <c r="D126" t="str">
        <f>Data!G126</f>
        <v>Supplier X</v>
      </c>
      <c r="E126" s="2">
        <f>Data!D126</f>
        <v>108</v>
      </c>
      <c r="F126" s="2">
        <f>Data!E126</f>
        <v>130</v>
      </c>
      <c r="G126" s="8">
        <f>Data!L126</f>
        <v>6931.44</v>
      </c>
      <c r="H126" t="str">
        <f>Data!K126</f>
        <v>Below Reorder</v>
      </c>
      <c r="I126" s="22">
        <f t="shared" si="2"/>
        <v>17</v>
      </c>
      <c r="J126" s="22" t="str">
        <f t="shared" si="3"/>
        <v>High Risk</v>
      </c>
    </row>
    <row r="127" spans="1:10" x14ac:dyDescent="0.3">
      <c r="A127" t="str">
        <f>Data!A127</f>
        <v>ELE0126</v>
      </c>
      <c r="B127" t="str">
        <f>Data!B127</f>
        <v>Electronics Item 126</v>
      </c>
      <c r="C127" t="str">
        <f>Data!C127</f>
        <v>Category C</v>
      </c>
      <c r="D127" t="str">
        <f>Data!G127</f>
        <v>Supplier Z</v>
      </c>
      <c r="E127" s="2">
        <f>Data!D127</f>
        <v>120</v>
      </c>
      <c r="F127" s="2">
        <f>Data!E127</f>
        <v>173</v>
      </c>
      <c r="G127" s="8">
        <f>Data!L127</f>
        <v>17024.400000000001</v>
      </c>
      <c r="H127" t="str">
        <f>Data!K127</f>
        <v>Below Reorder</v>
      </c>
      <c r="I127" s="22">
        <f t="shared" si="2"/>
        <v>31</v>
      </c>
      <c r="J127" s="22" t="str">
        <f t="shared" si="3"/>
        <v>High Risk</v>
      </c>
    </row>
    <row r="128" spans="1:10" x14ac:dyDescent="0.3">
      <c r="A128" t="str">
        <f>Data!A128</f>
        <v>ELE0127</v>
      </c>
      <c r="B128" t="str">
        <f>Data!B128</f>
        <v>Electronics Item 127</v>
      </c>
      <c r="C128" t="str">
        <f>Data!C128</f>
        <v>Category A</v>
      </c>
      <c r="D128" t="str">
        <f>Data!G128</f>
        <v>Supplier Y</v>
      </c>
      <c r="E128" s="2">
        <f>Data!D128</f>
        <v>61</v>
      </c>
      <c r="F128" s="2">
        <f>Data!E128</f>
        <v>99</v>
      </c>
      <c r="G128" s="8">
        <f>Data!L128</f>
        <v>9250.0400000000009</v>
      </c>
      <c r="H128" t="str">
        <f>Data!K128</f>
        <v>Below Reorder</v>
      </c>
      <c r="I128" s="22">
        <f t="shared" si="2"/>
        <v>38</v>
      </c>
      <c r="J128" s="22" t="str">
        <f t="shared" si="3"/>
        <v>High Risk</v>
      </c>
    </row>
    <row r="129" spans="1:10" x14ac:dyDescent="0.3">
      <c r="A129" t="str">
        <f>Data!A129</f>
        <v>ELE0128</v>
      </c>
      <c r="B129" t="str">
        <f>Data!B129</f>
        <v>Electronics Item 128</v>
      </c>
      <c r="C129" t="str">
        <f>Data!C129</f>
        <v>Category A</v>
      </c>
      <c r="D129" t="str">
        <f>Data!G129</f>
        <v>Supplier Z</v>
      </c>
      <c r="E129" s="2">
        <f>Data!D129</f>
        <v>372</v>
      </c>
      <c r="F129" s="2">
        <f>Data!E129</f>
        <v>186</v>
      </c>
      <c r="G129" s="8">
        <f>Data!L129</f>
        <v>25169.52</v>
      </c>
      <c r="H129" t="str">
        <f>Data!K129</f>
        <v>Sufficient</v>
      </c>
      <c r="I129" s="22">
        <f t="shared" si="2"/>
        <v>0</v>
      </c>
      <c r="J129" s="22" t="str">
        <f t="shared" si="3"/>
        <v>Low Risk</v>
      </c>
    </row>
    <row r="130" spans="1:10" x14ac:dyDescent="0.3">
      <c r="A130" t="str">
        <f>Data!A130</f>
        <v>ELE0129</v>
      </c>
      <c r="B130" t="str">
        <f>Data!B130</f>
        <v>Electronics Item 129</v>
      </c>
      <c r="C130" t="str">
        <f>Data!C130</f>
        <v>Category B</v>
      </c>
      <c r="D130" t="str">
        <f>Data!G130</f>
        <v>Supplier X</v>
      </c>
      <c r="E130" s="2">
        <f>Data!D130</f>
        <v>367</v>
      </c>
      <c r="F130" s="2">
        <f>Data!E130</f>
        <v>82</v>
      </c>
      <c r="G130" s="8">
        <f>Data!L130</f>
        <v>117715.25</v>
      </c>
      <c r="H130" t="str">
        <f>Data!K130</f>
        <v>Sufficient</v>
      </c>
      <c r="I130" s="22">
        <f t="shared" si="2"/>
        <v>0</v>
      </c>
      <c r="J130" s="22" t="str">
        <f t="shared" si="3"/>
        <v>Low Risk</v>
      </c>
    </row>
    <row r="131" spans="1:10" x14ac:dyDescent="0.3">
      <c r="A131" t="str">
        <f>Data!A131</f>
        <v>ELE0130</v>
      </c>
      <c r="B131" t="str">
        <f>Data!B131</f>
        <v>Electronics Item 130</v>
      </c>
      <c r="C131" t="str">
        <f>Data!C131</f>
        <v>Category B</v>
      </c>
      <c r="D131" t="str">
        <f>Data!G131</f>
        <v>Supplier X</v>
      </c>
      <c r="E131" s="2">
        <f>Data!D131</f>
        <v>303</v>
      </c>
      <c r="F131" s="2">
        <f>Data!E131</f>
        <v>122</v>
      </c>
      <c r="G131" s="8">
        <f>Data!L131</f>
        <v>71917.05</v>
      </c>
      <c r="H131" t="str">
        <f>Data!K131</f>
        <v>Sufficient</v>
      </c>
      <c r="I131" s="22">
        <f t="shared" ref="I131:I194" si="4">ROUND(MAX(MIN(((F131-E131)/F131)*100,100),0),0)</f>
        <v>0</v>
      </c>
      <c r="J131" s="22" t="str">
        <f t="shared" ref="J131:J194" si="5">IF(H131="Below Reorder","High Risk",IF(I131&gt;0,"Medium Risk","Low Risk"))</f>
        <v>Low Risk</v>
      </c>
    </row>
    <row r="132" spans="1:10" x14ac:dyDescent="0.3">
      <c r="A132" t="str">
        <f>Data!A132</f>
        <v>ELE0131</v>
      </c>
      <c r="B132" t="str">
        <f>Data!B132</f>
        <v>Electronics Item 131</v>
      </c>
      <c r="C132" t="str">
        <f>Data!C132</f>
        <v>Category B</v>
      </c>
      <c r="D132" t="str">
        <f>Data!G132</f>
        <v>Supplier Y</v>
      </c>
      <c r="E132" s="2">
        <f>Data!D132</f>
        <v>139</v>
      </c>
      <c r="F132" s="2">
        <f>Data!E132</f>
        <v>172</v>
      </c>
      <c r="G132" s="8">
        <f>Data!L132</f>
        <v>8544.33</v>
      </c>
      <c r="H132" t="str">
        <f>Data!K132</f>
        <v>Below Reorder</v>
      </c>
      <c r="I132" s="22">
        <f t="shared" si="4"/>
        <v>19</v>
      </c>
      <c r="J132" s="22" t="str">
        <f t="shared" si="5"/>
        <v>High Risk</v>
      </c>
    </row>
    <row r="133" spans="1:10" x14ac:dyDescent="0.3">
      <c r="A133" t="str">
        <f>Data!A133</f>
        <v>ELE0132</v>
      </c>
      <c r="B133" t="str">
        <f>Data!B133</f>
        <v>Electronics Item 132</v>
      </c>
      <c r="C133" t="str">
        <f>Data!C133</f>
        <v>Category C</v>
      </c>
      <c r="D133" t="str">
        <f>Data!G133</f>
        <v>Supplier Y</v>
      </c>
      <c r="E133" s="2">
        <f>Data!D133</f>
        <v>305</v>
      </c>
      <c r="F133" s="2">
        <f>Data!E133</f>
        <v>63</v>
      </c>
      <c r="G133" s="8">
        <f>Data!L133</f>
        <v>24430.5</v>
      </c>
      <c r="H133" t="str">
        <f>Data!K133</f>
        <v>Sufficient</v>
      </c>
      <c r="I133" s="22">
        <f t="shared" si="4"/>
        <v>0</v>
      </c>
      <c r="J133" s="22" t="str">
        <f t="shared" si="5"/>
        <v>Low Risk</v>
      </c>
    </row>
    <row r="134" spans="1:10" x14ac:dyDescent="0.3">
      <c r="A134" t="str">
        <f>Data!A134</f>
        <v>ELE0133</v>
      </c>
      <c r="B134" t="str">
        <f>Data!B134</f>
        <v>Electronics Item 133</v>
      </c>
      <c r="C134" t="str">
        <f>Data!C134</f>
        <v>Category C</v>
      </c>
      <c r="D134" t="str">
        <f>Data!G134</f>
        <v>Supplier Z</v>
      </c>
      <c r="E134" s="2">
        <f>Data!D134</f>
        <v>137</v>
      </c>
      <c r="F134" s="2">
        <f>Data!E134</f>
        <v>80</v>
      </c>
      <c r="G134" s="8">
        <f>Data!L134</f>
        <v>38531.25</v>
      </c>
      <c r="H134" t="str">
        <f>Data!K134</f>
        <v>Sufficient</v>
      </c>
      <c r="I134" s="22">
        <f t="shared" si="4"/>
        <v>0</v>
      </c>
      <c r="J134" s="22" t="str">
        <f t="shared" si="5"/>
        <v>Low Risk</v>
      </c>
    </row>
    <row r="135" spans="1:10" x14ac:dyDescent="0.3">
      <c r="A135" t="str">
        <f>Data!A135</f>
        <v>ELE0134</v>
      </c>
      <c r="B135" t="str">
        <f>Data!B135</f>
        <v>Electronics Item 134</v>
      </c>
      <c r="C135" t="str">
        <f>Data!C135</f>
        <v>Category B</v>
      </c>
      <c r="D135" t="str">
        <f>Data!G135</f>
        <v>Supplier Y</v>
      </c>
      <c r="E135" s="2">
        <f>Data!D135</f>
        <v>125</v>
      </c>
      <c r="F135" s="2">
        <f>Data!E135</f>
        <v>183</v>
      </c>
      <c r="G135" s="8">
        <f>Data!L135</f>
        <v>24161.25</v>
      </c>
      <c r="H135" t="str">
        <f>Data!K135</f>
        <v>Below Reorder</v>
      </c>
      <c r="I135" s="22">
        <f t="shared" si="4"/>
        <v>32</v>
      </c>
      <c r="J135" s="22" t="str">
        <f t="shared" si="5"/>
        <v>High Risk</v>
      </c>
    </row>
    <row r="136" spans="1:10" x14ac:dyDescent="0.3">
      <c r="A136" t="str">
        <f>Data!A136</f>
        <v>ELE0135</v>
      </c>
      <c r="B136" t="str">
        <f>Data!B136</f>
        <v>Electronics Item 135</v>
      </c>
      <c r="C136" t="str">
        <f>Data!C136</f>
        <v>Category C</v>
      </c>
      <c r="D136" t="str">
        <f>Data!G136</f>
        <v>Supplier Z</v>
      </c>
      <c r="E136" s="2">
        <f>Data!D136</f>
        <v>229</v>
      </c>
      <c r="F136" s="2">
        <f>Data!E136</f>
        <v>128</v>
      </c>
      <c r="G136" s="8">
        <f>Data!L136</f>
        <v>65601.63</v>
      </c>
      <c r="H136" t="str">
        <f>Data!K136</f>
        <v>Sufficient</v>
      </c>
      <c r="I136" s="22">
        <f t="shared" si="4"/>
        <v>0</v>
      </c>
      <c r="J136" s="22" t="str">
        <f t="shared" si="5"/>
        <v>Low Risk</v>
      </c>
    </row>
    <row r="137" spans="1:10" x14ac:dyDescent="0.3">
      <c r="A137" t="str">
        <f>Data!A137</f>
        <v>ELE0136</v>
      </c>
      <c r="B137" t="str">
        <f>Data!B137</f>
        <v>Electronics Item 136</v>
      </c>
      <c r="C137" t="str">
        <f>Data!C137</f>
        <v>Category C</v>
      </c>
      <c r="D137" t="str">
        <f>Data!G137</f>
        <v>Supplier X</v>
      </c>
      <c r="E137" s="2">
        <f>Data!D137</f>
        <v>495</v>
      </c>
      <c r="F137" s="2">
        <f>Data!E137</f>
        <v>103</v>
      </c>
      <c r="G137" s="8">
        <f>Data!L137</f>
        <v>155741.85</v>
      </c>
      <c r="H137" t="str">
        <f>Data!K137</f>
        <v>Sufficient</v>
      </c>
      <c r="I137" s="22">
        <f t="shared" si="4"/>
        <v>0</v>
      </c>
      <c r="J137" s="22" t="str">
        <f t="shared" si="5"/>
        <v>Low Risk</v>
      </c>
    </row>
    <row r="138" spans="1:10" x14ac:dyDescent="0.3">
      <c r="A138" t="str">
        <f>Data!A138</f>
        <v>ELE0137</v>
      </c>
      <c r="B138" t="str">
        <f>Data!B138</f>
        <v>Electronics Item 137</v>
      </c>
      <c r="C138" t="str">
        <f>Data!C138</f>
        <v>Category A</v>
      </c>
      <c r="D138" t="str">
        <f>Data!G138</f>
        <v>Supplier Y</v>
      </c>
      <c r="E138" s="2">
        <f>Data!D138</f>
        <v>132</v>
      </c>
      <c r="F138" s="2">
        <f>Data!E138</f>
        <v>94</v>
      </c>
      <c r="G138" s="8">
        <f>Data!L138</f>
        <v>36727.68</v>
      </c>
      <c r="H138" t="str">
        <f>Data!K138</f>
        <v>Sufficient</v>
      </c>
      <c r="I138" s="22">
        <f t="shared" si="4"/>
        <v>0</v>
      </c>
      <c r="J138" s="22" t="str">
        <f t="shared" si="5"/>
        <v>Low Risk</v>
      </c>
    </row>
    <row r="139" spans="1:10" x14ac:dyDescent="0.3">
      <c r="A139" t="str">
        <f>Data!A139</f>
        <v>ELE0138</v>
      </c>
      <c r="B139" t="str">
        <f>Data!B139</f>
        <v>Electronics Item 138</v>
      </c>
      <c r="C139" t="str">
        <f>Data!C139</f>
        <v>Category B</v>
      </c>
      <c r="D139" t="str">
        <f>Data!G139</f>
        <v>Supplier Z</v>
      </c>
      <c r="E139" s="2">
        <f>Data!D139</f>
        <v>362</v>
      </c>
      <c r="F139" s="2">
        <f>Data!E139</f>
        <v>170</v>
      </c>
      <c r="G139" s="8">
        <f>Data!L139</f>
        <v>53999.54</v>
      </c>
      <c r="H139" t="str">
        <f>Data!K139</f>
        <v>Sufficient</v>
      </c>
      <c r="I139" s="22">
        <f t="shared" si="4"/>
        <v>0</v>
      </c>
      <c r="J139" s="22" t="str">
        <f t="shared" si="5"/>
        <v>Low Risk</v>
      </c>
    </row>
    <row r="140" spans="1:10" x14ac:dyDescent="0.3">
      <c r="A140" t="str">
        <f>Data!A140</f>
        <v>ELE0139</v>
      </c>
      <c r="B140" t="str">
        <f>Data!B140</f>
        <v>Electronics Item 139</v>
      </c>
      <c r="C140" t="str">
        <f>Data!C140</f>
        <v>Category B</v>
      </c>
      <c r="D140" t="str">
        <f>Data!G140</f>
        <v>Supplier Z</v>
      </c>
      <c r="E140" s="2">
        <f>Data!D140</f>
        <v>369</v>
      </c>
      <c r="F140" s="2">
        <f>Data!E140</f>
        <v>166</v>
      </c>
      <c r="G140" s="8">
        <f>Data!L140</f>
        <v>14844.87</v>
      </c>
      <c r="H140" t="str">
        <f>Data!K140</f>
        <v>Sufficient</v>
      </c>
      <c r="I140" s="22">
        <f t="shared" si="4"/>
        <v>0</v>
      </c>
      <c r="J140" s="22" t="str">
        <f t="shared" si="5"/>
        <v>Low Risk</v>
      </c>
    </row>
    <row r="141" spans="1:10" x14ac:dyDescent="0.3">
      <c r="A141" t="str">
        <f>Data!A141</f>
        <v>ELE0140</v>
      </c>
      <c r="B141" t="str">
        <f>Data!B141</f>
        <v>Electronics Item 140</v>
      </c>
      <c r="C141" t="str">
        <f>Data!C141</f>
        <v>Category A</v>
      </c>
      <c r="D141" t="str">
        <f>Data!G141</f>
        <v>Supplier Z</v>
      </c>
      <c r="E141" s="2">
        <f>Data!D141</f>
        <v>348</v>
      </c>
      <c r="F141" s="2">
        <f>Data!E141</f>
        <v>100</v>
      </c>
      <c r="G141" s="8">
        <f>Data!L141</f>
        <v>74973.119999999995</v>
      </c>
      <c r="H141" t="str">
        <f>Data!K141</f>
        <v>Sufficient</v>
      </c>
      <c r="I141" s="22">
        <f t="shared" si="4"/>
        <v>0</v>
      </c>
      <c r="J141" s="22" t="str">
        <f t="shared" si="5"/>
        <v>Low Risk</v>
      </c>
    </row>
    <row r="142" spans="1:10" x14ac:dyDescent="0.3">
      <c r="A142" t="str">
        <f>Data!A142</f>
        <v>ELE0141</v>
      </c>
      <c r="B142" t="str">
        <f>Data!B142</f>
        <v>Electronics Item 141</v>
      </c>
      <c r="C142" t="str">
        <f>Data!C142</f>
        <v>Category A</v>
      </c>
      <c r="D142" t="str">
        <f>Data!G142</f>
        <v>Supplier X</v>
      </c>
      <c r="E142" s="2">
        <f>Data!D142</f>
        <v>475</v>
      </c>
      <c r="F142" s="2">
        <f>Data!E142</f>
        <v>118</v>
      </c>
      <c r="G142" s="8">
        <f>Data!L142</f>
        <v>196735.5</v>
      </c>
      <c r="H142" t="str">
        <f>Data!K142</f>
        <v>Sufficient</v>
      </c>
      <c r="I142" s="22">
        <f t="shared" si="4"/>
        <v>0</v>
      </c>
      <c r="J142" s="22" t="str">
        <f t="shared" si="5"/>
        <v>Low Risk</v>
      </c>
    </row>
    <row r="143" spans="1:10" x14ac:dyDescent="0.3">
      <c r="A143" t="str">
        <f>Data!A143</f>
        <v>ELE0142</v>
      </c>
      <c r="B143" t="str">
        <f>Data!B143</f>
        <v>Electronics Item 142</v>
      </c>
      <c r="C143" t="str">
        <f>Data!C143</f>
        <v>Category A</v>
      </c>
      <c r="D143" t="str">
        <f>Data!G143</f>
        <v>Supplier Y</v>
      </c>
      <c r="E143" s="2">
        <f>Data!D143</f>
        <v>314</v>
      </c>
      <c r="F143" s="2">
        <f>Data!E143</f>
        <v>195</v>
      </c>
      <c r="G143" s="8">
        <f>Data!L143</f>
        <v>144750.85999999999</v>
      </c>
      <c r="H143" t="str">
        <f>Data!K143</f>
        <v>Sufficient</v>
      </c>
      <c r="I143" s="22">
        <f t="shared" si="4"/>
        <v>0</v>
      </c>
      <c r="J143" s="22" t="str">
        <f t="shared" si="5"/>
        <v>Low Risk</v>
      </c>
    </row>
    <row r="144" spans="1:10" x14ac:dyDescent="0.3">
      <c r="A144" t="str">
        <f>Data!A144</f>
        <v>ELE0143</v>
      </c>
      <c r="B144" t="str">
        <f>Data!B144</f>
        <v>Electronics Item 143</v>
      </c>
      <c r="C144" t="str">
        <f>Data!C144</f>
        <v>Category C</v>
      </c>
      <c r="D144" t="str">
        <f>Data!G144</f>
        <v>Supplier Y</v>
      </c>
      <c r="E144" s="2">
        <f>Data!D144</f>
        <v>165</v>
      </c>
      <c r="F144" s="2">
        <f>Data!E144</f>
        <v>153</v>
      </c>
      <c r="G144" s="8">
        <f>Data!L144</f>
        <v>77817.3</v>
      </c>
      <c r="H144" t="str">
        <f>Data!K144</f>
        <v>Sufficient</v>
      </c>
      <c r="I144" s="22">
        <f t="shared" si="4"/>
        <v>0</v>
      </c>
      <c r="J144" s="22" t="str">
        <f t="shared" si="5"/>
        <v>Low Risk</v>
      </c>
    </row>
    <row r="145" spans="1:10" x14ac:dyDescent="0.3">
      <c r="A145" t="str">
        <f>Data!A145</f>
        <v>ELE0144</v>
      </c>
      <c r="B145" t="str">
        <f>Data!B145</f>
        <v>Electronics Item 144</v>
      </c>
      <c r="C145" t="str">
        <f>Data!C145</f>
        <v>Category B</v>
      </c>
      <c r="D145" t="str">
        <f>Data!G145</f>
        <v>Supplier Z</v>
      </c>
      <c r="E145" s="2">
        <f>Data!D145</f>
        <v>51</v>
      </c>
      <c r="F145" s="2">
        <f>Data!E145</f>
        <v>60</v>
      </c>
      <c r="G145" s="8">
        <f>Data!L145</f>
        <v>22708.26</v>
      </c>
      <c r="H145" t="str">
        <f>Data!K145</f>
        <v>Below Reorder</v>
      </c>
      <c r="I145" s="22">
        <f t="shared" si="4"/>
        <v>15</v>
      </c>
      <c r="J145" s="22" t="str">
        <f t="shared" si="5"/>
        <v>High Risk</v>
      </c>
    </row>
    <row r="146" spans="1:10" x14ac:dyDescent="0.3">
      <c r="A146" t="str">
        <f>Data!A146</f>
        <v>ELE0145</v>
      </c>
      <c r="B146" t="str">
        <f>Data!B146</f>
        <v>Electronics Item 145</v>
      </c>
      <c r="C146" t="str">
        <f>Data!C146</f>
        <v>Category C</v>
      </c>
      <c r="D146" t="str">
        <f>Data!G146</f>
        <v>Supplier Z</v>
      </c>
      <c r="E146" s="2">
        <f>Data!D146</f>
        <v>23</v>
      </c>
      <c r="F146" s="2">
        <f>Data!E146</f>
        <v>73</v>
      </c>
      <c r="G146" s="8">
        <f>Data!L146</f>
        <v>2721.36</v>
      </c>
      <c r="H146" t="str">
        <f>Data!K146</f>
        <v>Below Reorder</v>
      </c>
      <c r="I146" s="22">
        <f t="shared" si="4"/>
        <v>68</v>
      </c>
      <c r="J146" s="22" t="str">
        <f t="shared" si="5"/>
        <v>High Risk</v>
      </c>
    </row>
    <row r="147" spans="1:10" x14ac:dyDescent="0.3">
      <c r="A147" t="str">
        <f>Data!A147</f>
        <v>ELE0146</v>
      </c>
      <c r="B147" t="str">
        <f>Data!B147</f>
        <v>Electronics Item 146</v>
      </c>
      <c r="C147" t="str">
        <f>Data!C147</f>
        <v>Category A</v>
      </c>
      <c r="D147" t="str">
        <f>Data!G147</f>
        <v>Supplier Y</v>
      </c>
      <c r="E147" s="2">
        <f>Data!D147</f>
        <v>401</v>
      </c>
      <c r="F147" s="2">
        <f>Data!E147</f>
        <v>118</v>
      </c>
      <c r="G147" s="8">
        <f>Data!L147</f>
        <v>116386.24000000001</v>
      </c>
      <c r="H147" t="str">
        <f>Data!K147</f>
        <v>Sufficient</v>
      </c>
      <c r="I147" s="22">
        <f t="shared" si="4"/>
        <v>0</v>
      </c>
      <c r="J147" s="22" t="str">
        <f t="shared" si="5"/>
        <v>Low Risk</v>
      </c>
    </row>
    <row r="148" spans="1:10" x14ac:dyDescent="0.3">
      <c r="A148" t="str">
        <f>Data!A148</f>
        <v>ELE0147</v>
      </c>
      <c r="B148" t="str">
        <f>Data!B148</f>
        <v>Electronics Item 147</v>
      </c>
      <c r="C148" t="str">
        <f>Data!C148</f>
        <v>Category C</v>
      </c>
      <c r="D148" t="str">
        <f>Data!G148</f>
        <v>Supplier Y</v>
      </c>
      <c r="E148" s="2">
        <f>Data!D148</f>
        <v>343</v>
      </c>
      <c r="F148" s="2">
        <f>Data!E148</f>
        <v>163</v>
      </c>
      <c r="G148" s="8">
        <f>Data!L148</f>
        <v>157251.78</v>
      </c>
      <c r="H148" t="str">
        <f>Data!K148</f>
        <v>Sufficient</v>
      </c>
      <c r="I148" s="22">
        <f t="shared" si="4"/>
        <v>0</v>
      </c>
      <c r="J148" s="22" t="str">
        <f t="shared" si="5"/>
        <v>Low Risk</v>
      </c>
    </row>
    <row r="149" spans="1:10" x14ac:dyDescent="0.3">
      <c r="A149" t="str">
        <f>Data!A149</f>
        <v>ELE0148</v>
      </c>
      <c r="B149" t="str">
        <f>Data!B149</f>
        <v>Electronics Item 148</v>
      </c>
      <c r="C149" t="str">
        <f>Data!C149</f>
        <v>Category B</v>
      </c>
      <c r="D149" t="str">
        <f>Data!G149</f>
        <v>Supplier Y</v>
      </c>
      <c r="E149" s="2">
        <f>Data!D149</f>
        <v>426</v>
      </c>
      <c r="F149" s="2">
        <f>Data!E149</f>
        <v>175</v>
      </c>
      <c r="G149" s="8">
        <f>Data!L149</f>
        <v>206473.68</v>
      </c>
      <c r="H149" t="str">
        <f>Data!K149</f>
        <v>Sufficient</v>
      </c>
      <c r="I149" s="22">
        <f t="shared" si="4"/>
        <v>0</v>
      </c>
      <c r="J149" s="22" t="str">
        <f t="shared" si="5"/>
        <v>Low Risk</v>
      </c>
    </row>
    <row r="150" spans="1:10" x14ac:dyDescent="0.3">
      <c r="A150" t="str">
        <f>Data!A150</f>
        <v>ELE0149</v>
      </c>
      <c r="B150" t="str">
        <f>Data!B150</f>
        <v>Electronics Item 149</v>
      </c>
      <c r="C150" t="str">
        <f>Data!C150</f>
        <v>Category B</v>
      </c>
      <c r="D150" t="str">
        <f>Data!G150</f>
        <v>Supplier Z</v>
      </c>
      <c r="E150" s="2">
        <f>Data!D150</f>
        <v>174</v>
      </c>
      <c r="F150" s="2">
        <f>Data!E150</f>
        <v>76</v>
      </c>
      <c r="G150" s="8">
        <f>Data!L150</f>
        <v>74746.92</v>
      </c>
      <c r="H150" t="str">
        <f>Data!K150</f>
        <v>Sufficient</v>
      </c>
      <c r="I150" s="22">
        <f t="shared" si="4"/>
        <v>0</v>
      </c>
      <c r="J150" s="22" t="str">
        <f t="shared" si="5"/>
        <v>Low Risk</v>
      </c>
    </row>
    <row r="151" spans="1:10" x14ac:dyDescent="0.3">
      <c r="A151" t="str">
        <f>Data!A151</f>
        <v>ELE0150</v>
      </c>
      <c r="B151" t="str">
        <f>Data!B151</f>
        <v>Electronics Item 150</v>
      </c>
      <c r="C151" t="str">
        <f>Data!C151</f>
        <v>Category A</v>
      </c>
      <c r="D151" t="str">
        <f>Data!G151</f>
        <v>Supplier Y</v>
      </c>
      <c r="E151" s="2">
        <f>Data!D151</f>
        <v>157</v>
      </c>
      <c r="F151" s="2">
        <f>Data!E151</f>
        <v>152</v>
      </c>
      <c r="G151" s="8">
        <f>Data!L151</f>
        <v>64012.04</v>
      </c>
      <c r="H151" t="str">
        <f>Data!K151</f>
        <v>Sufficient</v>
      </c>
      <c r="I151" s="22">
        <f t="shared" si="4"/>
        <v>0</v>
      </c>
      <c r="J151" s="22" t="str">
        <f t="shared" si="5"/>
        <v>Low Risk</v>
      </c>
    </row>
    <row r="152" spans="1:10" x14ac:dyDescent="0.3">
      <c r="A152" t="str">
        <f>Data!A152</f>
        <v>ELE0151</v>
      </c>
      <c r="B152" t="str">
        <f>Data!B152</f>
        <v>Electronics Item 151</v>
      </c>
      <c r="C152" t="str">
        <f>Data!C152</f>
        <v>Category B</v>
      </c>
      <c r="D152" t="str">
        <f>Data!G152</f>
        <v>Supplier Z</v>
      </c>
      <c r="E152" s="2">
        <f>Data!D152</f>
        <v>171</v>
      </c>
      <c r="F152" s="2">
        <f>Data!E152</f>
        <v>114</v>
      </c>
      <c r="G152" s="8">
        <f>Data!L152</f>
        <v>28218.42</v>
      </c>
      <c r="H152" t="str">
        <f>Data!K152</f>
        <v>Sufficient</v>
      </c>
      <c r="I152" s="22">
        <f t="shared" si="4"/>
        <v>0</v>
      </c>
      <c r="J152" s="22" t="str">
        <f t="shared" si="5"/>
        <v>Low Risk</v>
      </c>
    </row>
    <row r="153" spans="1:10" x14ac:dyDescent="0.3">
      <c r="A153" t="str">
        <f>Data!A153</f>
        <v>ELE0152</v>
      </c>
      <c r="B153" t="str">
        <f>Data!B153</f>
        <v>Electronics Item 152</v>
      </c>
      <c r="C153" t="str">
        <f>Data!C153</f>
        <v>Category A</v>
      </c>
      <c r="D153" t="str">
        <f>Data!G153</f>
        <v>Supplier Z</v>
      </c>
      <c r="E153" s="2">
        <f>Data!D153</f>
        <v>346</v>
      </c>
      <c r="F153" s="2">
        <f>Data!E153</f>
        <v>188</v>
      </c>
      <c r="G153" s="8">
        <f>Data!L153</f>
        <v>80853.279999999999</v>
      </c>
      <c r="H153" t="str">
        <f>Data!K153</f>
        <v>Sufficient</v>
      </c>
      <c r="I153" s="22">
        <f t="shared" si="4"/>
        <v>0</v>
      </c>
      <c r="J153" s="22" t="str">
        <f t="shared" si="5"/>
        <v>Low Risk</v>
      </c>
    </row>
    <row r="154" spans="1:10" x14ac:dyDescent="0.3">
      <c r="A154" t="str">
        <f>Data!A154</f>
        <v>ELE0153</v>
      </c>
      <c r="B154" t="str">
        <f>Data!B154</f>
        <v>Electronics Item 153</v>
      </c>
      <c r="C154" t="str">
        <f>Data!C154</f>
        <v>Category A</v>
      </c>
      <c r="D154" t="str">
        <f>Data!G154</f>
        <v>Supplier X</v>
      </c>
      <c r="E154" s="2">
        <f>Data!D154</f>
        <v>328</v>
      </c>
      <c r="F154" s="2">
        <f>Data!E154</f>
        <v>177</v>
      </c>
      <c r="G154" s="8">
        <f>Data!L154</f>
        <v>103182.24</v>
      </c>
      <c r="H154" t="str">
        <f>Data!K154</f>
        <v>Sufficient</v>
      </c>
      <c r="I154" s="22">
        <f t="shared" si="4"/>
        <v>0</v>
      </c>
      <c r="J154" s="22" t="str">
        <f t="shared" si="5"/>
        <v>Low Risk</v>
      </c>
    </row>
    <row r="155" spans="1:10" x14ac:dyDescent="0.3">
      <c r="A155" t="str">
        <f>Data!A155</f>
        <v>ELE0154</v>
      </c>
      <c r="B155" t="str">
        <f>Data!B155</f>
        <v>Electronics Item 154</v>
      </c>
      <c r="C155" t="str">
        <f>Data!C155</f>
        <v>Category C</v>
      </c>
      <c r="D155" t="str">
        <f>Data!G155</f>
        <v>Supplier Y</v>
      </c>
      <c r="E155" s="2">
        <f>Data!D155</f>
        <v>291</v>
      </c>
      <c r="F155" s="2">
        <f>Data!E155</f>
        <v>83</v>
      </c>
      <c r="G155" s="8">
        <f>Data!L155</f>
        <v>135082.20000000001</v>
      </c>
      <c r="H155" t="str">
        <f>Data!K155</f>
        <v>Sufficient</v>
      </c>
      <c r="I155" s="22">
        <f t="shared" si="4"/>
        <v>0</v>
      </c>
      <c r="J155" s="22" t="str">
        <f t="shared" si="5"/>
        <v>Low Risk</v>
      </c>
    </row>
    <row r="156" spans="1:10" x14ac:dyDescent="0.3">
      <c r="A156" t="str">
        <f>Data!A156</f>
        <v>ELE0155</v>
      </c>
      <c r="B156" t="str">
        <f>Data!B156</f>
        <v>Electronics Item 155</v>
      </c>
      <c r="C156" t="str">
        <f>Data!C156</f>
        <v>Category C</v>
      </c>
      <c r="D156" t="str">
        <f>Data!G156</f>
        <v>Supplier X</v>
      </c>
      <c r="E156" s="2">
        <f>Data!D156</f>
        <v>24</v>
      </c>
      <c r="F156" s="2">
        <f>Data!E156</f>
        <v>111</v>
      </c>
      <c r="G156" s="8">
        <f>Data!L156</f>
        <v>8552.16</v>
      </c>
      <c r="H156" t="str">
        <f>Data!K156</f>
        <v>Below Reorder</v>
      </c>
      <c r="I156" s="22">
        <f t="shared" si="4"/>
        <v>78</v>
      </c>
      <c r="J156" s="22" t="str">
        <f t="shared" si="5"/>
        <v>High Risk</v>
      </c>
    </row>
    <row r="157" spans="1:10" x14ac:dyDescent="0.3">
      <c r="A157" t="str">
        <f>Data!A157</f>
        <v>ELE0156</v>
      </c>
      <c r="B157" t="str">
        <f>Data!B157</f>
        <v>Electronics Item 156</v>
      </c>
      <c r="C157" t="str">
        <f>Data!C157</f>
        <v>Category A</v>
      </c>
      <c r="D157" t="str">
        <f>Data!G157</f>
        <v>Supplier Y</v>
      </c>
      <c r="E157" s="2">
        <f>Data!D157</f>
        <v>218</v>
      </c>
      <c r="F157" s="2">
        <f>Data!E157</f>
        <v>73</v>
      </c>
      <c r="G157" s="8">
        <f>Data!L157</f>
        <v>25338.14</v>
      </c>
      <c r="H157" t="str">
        <f>Data!K157</f>
        <v>Sufficient</v>
      </c>
      <c r="I157" s="22">
        <f t="shared" si="4"/>
        <v>0</v>
      </c>
      <c r="J157" s="22" t="str">
        <f t="shared" si="5"/>
        <v>Low Risk</v>
      </c>
    </row>
    <row r="158" spans="1:10" x14ac:dyDescent="0.3">
      <c r="A158" t="str">
        <f>Data!A158</f>
        <v>ELE0157</v>
      </c>
      <c r="B158" t="str">
        <f>Data!B158</f>
        <v>Electronics Item 157</v>
      </c>
      <c r="C158" t="str">
        <f>Data!C158</f>
        <v>Category B</v>
      </c>
      <c r="D158" t="str">
        <f>Data!G158</f>
        <v>Supplier Z</v>
      </c>
      <c r="E158" s="2">
        <f>Data!D158</f>
        <v>341</v>
      </c>
      <c r="F158" s="2">
        <f>Data!E158</f>
        <v>89</v>
      </c>
      <c r="G158" s="8">
        <f>Data!L158</f>
        <v>85829.7</v>
      </c>
      <c r="H158" t="str">
        <f>Data!K158</f>
        <v>Sufficient</v>
      </c>
      <c r="I158" s="22">
        <f t="shared" si="4"/>
        <v>0</v>
      </c>
      <c r="J158" s="22" t="str">
        <f t="shared" si="5"/>
        <v>Low Risk</v>
      </c>
    </row>
    <row r="159" spans="1:10" x14ac:dyDescent="0.3">
      <c r="A159" t="str">
        <f>Data!A159</f>
        <v>ELE0158</v>
      </c>
      <c r="B159" t="str">
        <f>Data!B159</f>
        <v>Electronics Item 158</v>
      </c>
      <c r="C159" t="str">
        <f>Data!C159</f>
        <v>Category A</v>
      </c>
      <c r="D159" t="str">
        <f>Data!G159</f>
        <v>Supplier Y</v>
      </c>
      <c r="E159" s="2">
        <f>Data!D159</f>
        <v>149</v>
      </c>
      <c r="F159" s="2">
        <f>Data!E159</f>
        <v>156</v>
      </c>
      <c r="G159" s="8">
        <f>Data!L159</f>
        <v>62310.31</v>
      </c>
      <c r="H159" t="str">
        <f>Data!K159</f>
        <v>Below Reorder</v>
      </c>
      <c r="I159" s="22">
        <f t="shared" si="4"/>
        <v>4</v>
      </c>
      <c r="J159" s="22" t="str">
        <f t="shared" si="5"/>
        <v>High Risk</v>
      </c>
    </row>
    <row r="160" spans="1:10" x14ac:dyDescent="0.3">
      <c r="A160" t="str">
        <f>Data!A160</f>
        <v>ELE0159</v>
      </c>
      <c r="B160" t="str">
        <f>Data!B160</f>
        <v>Electronics Item 159</v>
      </c>
      <c r="C160" t="str">
        <f>Data!C160</f>
        <v>Category C</v>
      </c>
      <c r="D160" t="str">
        <f>Data!G160</f>
        <v>Supplier Z</v>
      </c>
      <c r="E160" s="2">
        <f>Data!D160</f>
        <v>84</v>
      </c>
      <c r="F160" s="2">
        <f>Data!E160</f>
        <v>148</v>
      </c>
      <c r="G160" s="8">
        <f>Data!L160</f>
        <v>8345.4</v>
      </c>
      <c r="H160" t="str">
        <f>Data!K160</f>
        <v>Below Reorder</v>
      </c>
      <c r="I160" s="22">
        <f t="shared" si="4"/>
        <v>43</v>
      </c>
      <c r="J160" s="22" t="str">
        <f t="shared" si="5"/>
        <v>High Risk</v>
      </c>
    </row>
    <row r="161" spans="1:10" x14ac:dyDescent="0.3">
      <c r="A161" t="str">
        <f>Data!A161</f>
        <v>ELE0160</v>
      </c>
      <c r="B161" t="str">
        <f>Data!B161</f>
        <v>Electronics Item 160</v>
      </c>
      <c r="C161" t="str">
        <f>Data!C161</f>
        <v>Category B</v>
      </c>
      <c r="D161" t="str">
        <f>Data!G161</f>
        <v>Supplier Y</v>
      </c>
      <c r="E161" s="2">
        <f>Data!D161</f>
        <v>452</v>
      </c>
      <c r="F161" s="2">
        <f>Data!E161</f>
        <v>67</v>
      </c>
      <c r="G161" s="8">
        <f>Data!L161</f>
        <v>64066.48</v>
      </c>
      <c r="H161" t="str">
        <f>Data!K161</f>
        <v>Sufficient</v>
      </c>
      <c r="I161" s="22">
        <f t="shared" si="4"/>
        <v>0</v>
      </c>
      <c r="J161" s="22" t="str">
        <f t="shared" si="5"/>
        <v>Low Risk</v>
      </c>
    </row>
    <row r="162" spans="1:10" x14ac:dyDescent="0.3">
      <c r="A162" t="str">
        <f>Data!A162</f>
        <v>ELE0161</v>
      </c>
      <c r="B162" t="str">
        <f>Data!B162</f>
        <v>Electronics Item 161</v>
      </c>
      <c r="C162" t="str">
        <f>Data!C162</f>
        <v>Category C</v>
      </c>
      <c r="D162" t="str">
        <f>Data!G162</f>
        <v>Supplier Z</v>
      </c>
      <c r="E162" s="2">
        <f>Data!D162</f>
        <v>146</v>
      </c>
      <c r="F162" s="2">
        <f>Data!E162</f>
        <v>50</v>
      </c>
      <c r="G162" s="8">
        <f>Data!L162</f>
        <v>21171.46</v>
      </c>
      <c r="H162" t="str">
        <f>Data!K162</f>
        <v>Sufficient</v>
      </c>
      <c r="I162" s="22">
        <f t="shared" si="4"/>
        <v>0</v>
      </c>
      <c r="J162" s="22" t="str">
        <f t="shared" si="5"/>
        <v>Low Risk</v>
      </c>
    </row>
    <row r="163" spans="1:10" x14ac:dyDescent="0.3">
      <c r="A163" t="str">
        <f>Data!A163</f>
        <v>ELE0162</v>
      </c>
      <c r="B163" t="str">
        <f>Data!B163</f>
        <v>Electronics Item 162</v>
      </c>
      <c r="C163" t="str">
        <f>Data!C163</f>
        <v>Category B</v>
      </c>
      <c r="D163" t="str">
        <f>Data!G163</f>
        <v>Supplier Y</v>
      </c>
      <c r="E163" s="2">
        <f>Data!D163</f>
        <v>260</v>
      </c>
      <c r="F163" s="2">
        <f>Data!E163</f>
        <v>88</v>
      </c>
      <c r="G163" s="8">
        <f>Data!L163</f>
        <v>58770.400000000001</v>
      </c>
      <c r="H163" t="str">
        <f>Data!K163</f>
        <v>Sufficient</v>
      </c>
      <c r="I163" s="22">
        <f t="shared" si="4"/>
        <v>0</v>
      </c>
      <c r="J163" s="22" t="str">
        <f t="shared" si="5"/>
        <v>Low Risk</v>
      </c>
    </row>
    <row r="164" spans="1:10" x14ac:dyDescent="0.3">
      <c r="A164" t="str">
        <f>Data!A164</f>
        <v>ELE0163</v>
      </c>
      <c r="B164" t="str">
        <f>Data!B164</f>
        <v>Electronics Item 163</v>
      </c>
      <c r="C164" t="str">
        <f>Data!C164</f>
        <v>Category B</v>
      </c>
      <c r="D164" t="str">
        <f>Data!G164</f>
        <v>Supplier X</v>
      </c>
      <c r="E164" s="2">
        <f>Data!D164</f>
        <v>400</v>
      </c>
      <c r="F164" s="2">
        <f>Data!E164</f>
        <v>189</v>
      </c>
      <c r="G164" s="8">
        <f>Data!L164</f>
        <v>76688</v>
      </c>
      <c r="H164" t="str">
        <f>Data!K164</f>
        <v>Sufficient</v>
      </c>
      <c r="I164" s="22">
        <f t="shared" si="4"/>
        <v>0</v>
      </c>
      <c r="J164" s="22" t="str">
        <f t="shared" si="5"/>
        <v>Low Risk</v>
      </c>
    </row>
    <row r="165" spans="1:10" x14ac:dyDescent="0.3">
      <c r="A165" t="str">
        <f>Data!A165</f>
        <v>ELE0164</v>
      </c>
      <c r="B165" t="str">
        <f>Data!B165</f>
        <v>Electronics Item 164</v>
      </c>
      <c r="C165" t="str">
        <f>Data!C165</f>
        <v>Category B</v>
      </c>
      <c r="D165" t="str">
        <f>Data!G165</f>
        <v>Supplier X</v>
      </c>
      <c r="E165" s="2">
        <f>Data!D165</f>
        <v>132</v>
      </c>
      <c r="F165" s="2">
        <f>Data!E165</f>
        <v>196</v>
      </c>
      <c r="G165" s="8">
        <f>Data!L165</f>
        <v>25683.24</v>
      </c>
      <c r="H165" t="str">
        <f>Data!K165</f>
        <v>Below Reorder</v>
      </c>
      <c r="I165" s="22">
        <f t="shared" si="4"/>
        <v>33</v>
      </c>
      <c r="J165" s="22" t="str">
        <f t="shared" si="5"/>
        <v>High Risk</v>
      </c>
    </row>
    <row r="166" spans="1:10" x14ac:dyDescent="0.3">
      <c r="A166" t="str">
        <f>Data!A166</f>
        <v>ELE0165</v>
      </c>
      <c r="B166" t="str">
        <f>Data!B166</f>
        <v>Electronics Item 165</v>
      </c>
      <c r="C166" t="str">
        <f>Data!C166</f>
        <v>Category B</v>
      </c>
      <c r="D166" t="str">
        <f>Data!G166</f>
        <v>Supplier Y</v>
      </c>
      <c r="E166" s="2">
        <f>Data!D166</f>
        <v>391</v>
      </c>
      <c r="F166" s="2">
        <f>Data!E166</f>
        <v>171</v>
      </c>
      <c r="G166" s="8">
        <f>Data!L166</f>
        <v>138449.19</v>
      </c>
      <c r="H166" t="str">
        <f>Data!K166</f>
        <v>Sufficient</v>
      </c>
      <c r="I166" s="22">
        <f t="shared" si="4"/>
        <v>0</v>
      </c>
      <c r="J166" s="22" t="str">
        <f t="shared" si="5"/>
        <v>Low Risk</v>
      </c>
    </row>
    <row r="167" spans="1:10" x14ac:dyDescent="0.3">
      <c r="A167" t="str">
        <f>Data!A167</f>
        <v>ELE0166</v>
      </c>
      <c r="B167" t="str">
        <f>Data!B167</f>
        <v>Electronics Item 166</v>
      </c>
      <c r="C167" t="str">
        <f>Data!C167</f>
        <v>Category A</v>
      </c>
      <c r="D167" t="str">
        <f>Data!G167</f>
        <v>Supplier Z</v>
      </c>
      <c r="E167" s="2">
        <f>Data!D167</f>
        <v>415</v>
      </c>
      <c r="F167" s="2">
        <f>Data!E167</f>
        <v>88</v>
      </c>
      <c r="G167" s="8">
        <f>Data!L167</f>
        <v>103828.85</v>
      </c>
      <c r="H167" t="str">
        <f>Data!K167</f>
        <v>Sufficient</v>
      </c>
      <c r="I167" s="22">
        <f t="shared" si="4"/>
        <v>0</v>
      </c>
      <c r="J167" s="22" t="str">
        <f t="shared" si="5"/>
        <v>Low Risk</v>
      </c>
    </row>
    <row r="168" spans="1:10" x14ac:dyDescent="0.3">
      <c r="A168" t="str">
        <f>Data!A168</f>
        <v>ELE0167</v>
      </c>
      <c r="B168" t="str">
        <f>Data!B168</f>
        <v>Electronics Item 167</v>
      </c>
      <c r="C168" t="str">
        <f>Data!C168</f>
        <v>Category A</v>
      </c>
      <c r="D168" t="str">
        <f>Data!G168</f>
        <v>Supplier Z</v>
      </c>
      <c r="E168" s="2">
        <f>Data!D168</f>
        <v>179</v>
      </c>
      <c r="F168" s="2">
        <f>Data!E168</f>
        <v>75</v>
      </c>
      <c r="G168" s="8">
        <f>Data!L168</f>
        <v>78351.88</v>
      </c>
      <c r="H168" t="str">
        <f>Data!K168</f>
        <v>Sufficient</v>
      </c>
      <c r="I168" s="22">
        <f t="shared" si="4"/>
        <v>0</v>
      </c>
      <c r="J168" s="22" t="str">
        <f t="shared" si="5"/>
        <v>Low Risk</v>
      </c>
    </row>
    <row r="169" spans="1:10" x14ac:dyDescent="0.3">
      <c r="A169" t="str">
        <f>Data!A169</f>
        <v>ELE0168</v>
      </c>
      <c r="B169" t="str">
        <f>Data!B169</f>
        <v>Electronics Item 168</v>
      </c>
      <c r="C169" t="str">
        <f>Data!C169</f>
        <v>Category A</v>
      </c>
      <c r="D169" t="str">
        <f>Data!G169</f>
        <v>Supplier X</v>
      </c>
      <c r="E169" s="2">
        <f>Data!D169</f>
        <v>17</v>
      </c>
      <c r="F169" s="2">
        <f>Data!E169</f>
        <v>86</v>
      </c>
      <c r="G169" s="8">
        <f>Data!L169</f>
        <v>3534.98</v>
      </c>
      <c r="H169" t="str">
        <f>Data!K169</f>
        <v>Below Reorder</v>
      </c>
      <c r="I169" s="22">
        <f t="shared" si="4"/>
        <v>80</v>
      </c>
      <c r="J169" s="22" t="str">
        <f t="shared" si="5"/>
        <v>High Risk</v>
      </c>
    </row>
    <row r="170" spans="1:10" x14ac:dyDescent="0.3">
      <c r="A170" t="str">
        <f>Data!A170</f>
        <v>ELE0169</v>
      </c>
      <c r="B170" t="str">
        <f>Data!B170</f>
        <v>Electronics Item 169</v>
      </c>
      <c r="C170" t="str">
        <f>Data!C170</f>
        <v>Category B</v>
      </c>
      <c r="D170" t="str">
        <f>Data!G170</f>
        <v>Supplier Z</v>
      </c>
      <c r="E170" s="2">
        <f>Data!D170</f>
        <v>410</v>
      </c>
      <c r="F170" s="2">
        <f>Data!E170</f>
        <v>117</v>
      </c>
      <c r="G170" s="8">
        <f>Data!L170</f>
        <v>70761.899999999994</v>
      </c>
      <c r="H170" t="str">
        <f>Data!K170</f>
        <v>Sufficient</v>
      </c>
      <c r="I170" s="22">
        <f t="shared" si="4"/>
        <v>0</v>
      </c>
      <c r="J170" s="22" t="str">
        <f t="shared" si="5"/>
        <v>Low Risk</v>
      </c>
    </row>
    <row r="171" spans="1:10" x14ac:dyDescent="0.3">
      <c r="A171" t="str">
        <f>Data!A171</f>
        <v>ELE0170</v>
      </c>
      <c r="B171" t="str">
        <f>Data!B171</f>
        <v>Electronics Item 170</v>
      </c>
      <c r="C171" t="str">
        <f>Data!C171</f>
        <v>Category C</v>
      </c>
      <c r="D171" t="str">
        <f>Data!G171</f>
        <v>Supplier Y</v>
      </c>
      <c r="E171" s="2">
        <f>Data!D171</f>
        <v>446</v>
      </c>
      <c r="F171" s="2">
        <f>Data!E171</f>
        <v>134</v>
      </c>
      <c r="G171" s="8">
        <f>Data!L171</f>
        <v>190401.86</v>
      </c>
      <c r="H171" t="str">
        <f>Data!K171</f>
        <v>Sufficient</v>
      </c>
      <c r="I171" s="22">
        <f t="shared" si="4"/>
        <v>0</v>
      </c>
      <c r="J171" s="22" t="str">
        <f t="shared" si="5"/>
        <v>Low Risk</v>
      </c>
    </row>
    <row r="172" spans="1:10" x14ac:dyDescent="0.3">
      <c r="A172" t="str">
        <f>Data!A172</f>
        <v>ELE0171</v>
      </c>
      <c r="B172" t="str">
        <f>Data!B172</f>
        <v>Electronics Item 171</v>
      </c>
      <c r="C172" t="str">
        <f>Data!C172</f>
        <v>Category C</v>
      </c>
      <c r="D172" t="str">
        <f>Data!G172</f>
        <v>Supplier X</v>
      </c>
      <c r="E172" s="2">
        <f>Data!D172</f>
        <v>330</v>
      </c>
      <c r="F172" s="2">
        <f>Data!E172</f>
        <v>174</v>
      </c>
      <c r="G172" s="8">
        <f>Data!L172</f>
        <v>144153.9</v>
      </c>
      <c r="H172" t="str">
        <f>Data!K172</f>
        <v>Sufficient</v>
      </c>
      <c r="I172" s="22">
        <f t="shared" si="4"/>
        <v>0</v>
      </c>
      <c r="J172" s="22" t="str">
        <f t="shared" si="5"/>
        <v>Low Risk</v>
      </c>
    </row>
    <row r="173" spans="1:10" x14ac:dyDescent="0.3">
      <c r="A173" t="str">
        <f>Data!A173</f>
        <v>ELE0172</v>
      </c>
      <c r="B173" t="str">
        <f>Data!B173</f>
        <v>Electronics Item 172</v>
      </c>
      <c r="C173" t="str">
        <f>Data!C173</f>
        <v>Category A</v>
      </c>
      <c r="D173" t="str">
        <f>Data!G173</f>
        <v>Supplier Y</v>
      </c>
      <c r="E173" s="2">
        <f>Data!D173</f>
        <v>333</v>
      </c>
      <c r="F173" s="2">
        <f>Data!E173</f>
        <v>123</v>
      </c>
      <c r="G173" s="8">
        <f>Data!L173</f>
        <v>166077.09</v>
      </c>
      <c r="H173" t="str">
        <f>Data!K173</f>
        <v>Sufficient</v>
      </c>
      <c r="I173" s="22">
        <f t="shared" si="4"/>
        <v>0</v>
      </c>
      <c r="J173" s="22" t="str">
        <f t="shared" si="5"/>
        <v>Low Risk</v>
      </c>
    </row>
    <row r="174" spans="1:10" x14ac:dyDescent="0.3">
      <c r="A174" t="str">
        <f>Data!A174</f>
        <v>ELE0173</v>
      </c>
      <c r="B174" t="str">
        <f>Data!B174</f>
        <v>Electronics Item 173</v>
      </c>
      <c r="C174" t="str">
        <f>Data!C174</f>
        <v>Category B</v>
      </c>
      <c r="D174" t="str">
        <f>Data!G174</f>
        <v>Supplier X</v>
      </c>
      <c r="E174" s="2">
        <f>Data!D174</f>
        <v>399</v>
      </c>
      <c r="F174" s="2">
        <f>Data!E174</f>
        <v>75</v>
      </c>
      <c r="G174" s="8">
        <f>Data!L174</f>
        <v>89623.38</v>
      </c>
      <c r="H174" t="str">
        <f>Data!K174</f>
        <v>Sufficient</v>
      </c>
      <c r="I174" s="22">
        <f t="shared" si="4"/>
        <v>0</v>
      </c>
      <c r="J174" s="22" t="str">
        <f t="shared" si="5"/>
        <v>Low Risk</v>
      </c>
    </row>
    <row r="175" spans="1:10" x14ac:dyDescent="0.3">
      <c r="A175" t="str">
        <f>Data!A175</f>
        <v>ELE0174</v>
      </c>
      <c r="B175" t="str">
        <f>Data!B175</f>
        <v>Electronics Item 174</v>
      </c>
      <c r="C175" t="str">
        <f>Data!C175</f>
        <v>Category B</v>
      </c>
      <c r="D175" t="str">
        <f>Data!G175</f>
        <v>Supplier X</v>
      </c>
      <c r="E175" s="2">
        <f>Data!D175</f>
        <v>176</v>
      </c>
      <c r="F175" s="2">
        <f>Data!E175</f>
        <v>64</v>
      </c>
      <c r="G175" s="8">
        <f>Data!L175</f>
        <v>26438.720000000001</v>
      </c>
      <c r="H175" t="str">
        <f>Data!K175</f>
        <v>Sufficient</v>
      </c>
      <c r="I175" s="22">
        <f t="shared" si="4"/>
        <v>0</v>
      </c>
      <c r="J175" s="22" t="str">
        <f t="shared" si="5"/>
        <v>Low Risk</v>
      </c>
    </row>
    <row r="176" spans="1:10" x14ac:dyDescent="0.3">
      <c r="A176" t="str">
        <f>Data!A176</f>
        <v>ELE0175</v>
      </c>
      <c r="B176" t="str">
        <f>Data!B176</f>
        <v>Electronics Item 175</v>
      </c>
      <c r="C176" t="str">
        <f>Data!C176</f>
        <v>Category A</v>
      </c>
      <c r="D176" t="str">
        <f>Data!G176</f>
        <v>Supplier X</v>
      </c>
      <c r="E176" s="2">
        <f>Data!D176</f>
        <v>281</v>
      </c>
      <c r="F176" s="2">
        <f>Data!E176</f>
        <v>155</v>
      </c>
      <c r="G176" s="8">
        <f>Data!L176</f>
        <v>80121.53</v>
      </c>
      <c r="H176" t="str">
        <f>Data!K176</f>
        <v>Sufficient</v>
      </c>
      <c r="I176" s="22">
        <f t="shared" si="4"/>
        <v>0</v>
      </c>
      <c r="J176" s="22" t="str">
        <f t="shared" si="5"/>
        <v>Low Risk</v>
      </c>
    </row>
    <row r="177" spans="1:10" x14ac:dyDescent="0.3">
      <c r="A177" t="str">
        <f>Data!A177</f>
        <v>ELE0176</v>
      </c>
      <c r="B177" t="str">
        <f>Data!B177</f>
        <v>Electronics Item 176</v>
      </c>
      <c r="C177" t="str">
        <f>Data!C177</f>
        <v>Category B</v>
      </c>
      <c r="D177" t="str">
        <f>Data!G177</f>
        <v>Supplier Z</v>
      </c>
      <c r="E177" s="2">
        <f>Data!D177</f>
        <v>50</v>
      </c>
      <c r="F177" s="2">
        <f>Data!E177</f>
        <v>147</v>
      </c>
      <c r="G177" s="8">
        <f>Data!L177</f>
        <v>15588</v>
      </c>
      <c r="H177" t="str">
        <f>Data!K177</f>
        <v>Below Reorder</v>
      </c>
      <c r="I177" s="22">
        <f t="shared" si="4"/>
        <v>66</v>
      </c>
      <c r="J177" s="22" t="str">
        <f t="shared" si="5"/>
        <v>High Risk</v>
      </c>
    </row>
    <row r="178" spans="1:10" x14ac:dyDescent="0.3">
      <c r="A178" t="str">
        <f>Data!A178</f>
        <v>ELE0177</v>
      </c>
      <c r="B178" t="str">
        <f>Data!B178</f>
        <v>Electronics Item 177</v>
      </c>
      <c r="C178" t="str">
        <f>Data!C178</f>
        <v>Category B</v>
      </c>
      <c r="D178" t="str">
        <f>Data!G178</f>
        <v>Supplier Z</v>
      </c>
      <c r="E178" s="2">
        <f>Data!D178</f>
        <v>128</v>
      </c>
      <c r="F178" s="2">
        <f>Data!E178</f>
        <v>168</v>
      </c>
      <c r="G178" s="8">
        <f>Data!L178</f>
        <v>41057.279999999999</v>
      </c>
      <c r="H178" t="str">
        <f>Data!K178</f>
        <v>Below Reorder</v>
      </c>
      <c r="I178" s="22">
        <f t="shared" si="4"/>
        <v>24</v>
      </c>
      <c r="J178" s="22" t="str">
        <f t="shared" si="5"/>
        <v>High Risk</v>
      </c>
    </row>
    <row r="179" spans="1:10" x14ac:dyDescent="0.3">
      <c r="A179" t="str">
        <f>Data!A179</f>
        <v>ELE0178</v>
      </c>
      <c r="B179" t="str">
        <f>Data!B179</f>
        <v>Electronics Item 178</v>
      </c>
      <c r="C179" t="str">
        <f>Data!C179</f>
        <v>Category C</v>
      </c>
      <c r="D179" t="str">
        <f>Data!G179</f>
        <v>Supplier X</v>
      </c>
      <c r="E179" s="2">
        <f>Data!D179</f>
        <v>470</v>
      </c>
      <c r="F179" s="2">
        <f>Data!E179</f>
        <v>169</v>
      </c>
      <c r="G179" s="8">
        <f>Data!L179</f>
        <v>212017</v>
      </c>
      <c r="H179" t="str">
        <f>Data!K179</f>
        <v>Sufficient</v>
      </c>
      <c r="I179" s="22">
        <f t="shared" si="4"/>
        <v>0</v>
      </c>
      <c r="J179" s="22" t="str">
        <f t="shared" si="5"/>
        <v>Low Risk</v>
      </c>
    </row>
    <row r="180" spans="1:10" x14ac:dyDescent="0.3">
      <c r="A180" t="str">
        <f>Data!A180</f>
        <v>ELE0179</v>
      </c>
      <c r="B180" t="str">
        <f>Data!B180</f>
        <v>Electronics Item 179</v>
      </c>
      <c r="C180" t="str">
        <f>Data!C180</f>
        <v>Category C</v>
      </c>
      <c r="D180" t="str">
        <f>Data!G180</f>
        <v>Supplier Y</v>
      </c>
      <c r="E180" s="2">
        <f>Data!D180</f>
        <v>236</v>
      </c>
      <c r="F180" s="2">
        <f>Data!E180</f>
        <v>138</v>
      </c>
      <c r="G180" s="8">
        <f>Data!L180</f>
        <v>116558.04</v>
      </c>
      <c r="H180" t="str">
        <f>Data!K180</f>
        <v>Sufficient</v>
      </c>
      <c r="I180" s="22">
        <f t="shared" si="4"/>
        <v>0</v>
      </c>
      <c r="J180" s="22" t="str">
        <f t="shared" si="5"/>
        <v>Low Risk</v>
      </c>
    </row>
    <row r="181" spans="1:10" x14ac:dyDescent="0.3">
      <c r="A181" t="str">
        <f>Data!A181</f>
        <v>ELE0180</v>
      </c>
      <c r="B181" t="str">
        <f>Data!B181</f>
        <v>Electronics Item 180</v>
      </c>
      <c r="C181" t="str">
        <f>Data!C181</f>
        <v>Category B</v>
      </c>
      <c r="D181" t="str">
        <f>Data!G181</f>
        <v>Supplier Y</v>
      </c>
      <c r="E181" s="2">
        <f>Data!D181</f>
        <v>138</v>
      </c>
      <c r="F181" s="2">
        <f>Data!E181</f>
        <v>166</v>
      </c>
      <c r="G181" s="8">
        <f>Data!L181</f>
        <v>58433.34</v>
      </c>
      <c r="H181" t="str">
        <f>Data!K181</f>
        <v>Below Reorder</v>
      </c>
      <c r="I181" s="22">
        <f t="shared" si="4"/>
        <v>17</v>
      </c>
      <c r="J181" s="22" t="str">
        <f t="shared" si="5"/>
        <v>High Risk</v>
      </c>
    </row>
    <row r="182" spans="1:10" x14ac:dyDescent="0.3">
      <c r="A182" t="str">
        <f>Data!A182</f>
        <v>ELE0181</v>
      </c>
      <c r="B182" t="str">
        <f>Data!B182</f>
        <v>Electronics Item 181</v>
      </c>
      <c r="C182" t="str">
        <f>Data!C182</f>
        <v>Category B</v>
      </c>
      <c r="D182" t="str">
        <f>Data!G182</f>
        <v>Supplier Z</v>
      </c>
      <c r="E182" s="2">
        <f>Data!D182</f>
        <v>131</v>
      </c>
      <c r="F182" s="2">
        <f>Data!E182</f>
        <v>147</v>
      </c>
      <c r="G182" s="8">
        <f>Data!L182</f>
        <v>37741.1</v>
      </c>
      <c r="H182" t="str">
        <f>Data!K182</f>
        <v>Below Reorder</v>
      </c>
      <c r="I182" s="22">
        <f t="shared" si="4"/>
        <v>11</v>
      </c>
      <c r="J182" s="22" t="str">
        <f t="shared" si="5"/>
        <v>High Risk</v>
      </c>
    </row>
    <row r="183" spans="1:10" x14ac:dyDescent="0.3">
      <c r="A183" t="str">
        <f>Data!A183</f>
        <v>ELE0182</v>
      </c>
      <c r="B183" t="str">
        <f>Data!B183</f>
        <v>Electronics Item 182</v>
      </c>
      <c r="C183" t="str">
        <f>Data!C183</f>
        <v>Category C</v>
      </c>
      <c r="D183" t="str">
        <f>Data!G183</f>
        <v>Supplier Z</v>
      </c>
      <c r="E183" s="2">
        <f>Data!D183</f>
        <v>21</v>
      </c>
      <c r="F183" s="2">
        <f>Data!E183</f>
        <v>151</v>
      </c>
      <c r="G183" s="8">
        <f>Data!L183</f>
        <v>2958.27</v>
      </c>
      <c r="H183" t="str">
        <f>Data!K183</f>
        <v>Below Reorder</v>
      </c>
      <c r="I183" s="22">
        <f t="shared" si="4"/>
        <v>86</v>
      </c>
      <c r="J183" s="22" t="str">
        <f t="shared" si="5"/>
        <v>High Risk</v>
      </c>
    </row>
    <row r="184" spans="1:10" x14ac:dyDescent="0.3">
      <c r="A184" t="str">
        <f>Data!A184</f>
        <v>ELE0183</v>
      </c>
      <c r="B184" t="str">
        <f>Data!B184</f>
        <v>Electronics Item 183</v>
      </c>
      <c r="C184" t="str">
        <f>Data!C184</f>
        <v>Category B</v>
      </c>
      <c r="D184" t="str">
        <f>Data!G184</f>
        <v>Supplier X</v>
      </c>
      <c r="E184" s="2">
        <f>Data!D184</f>
        <v>476</v>
      </c>
      <c r="F184" s="2">
        <f>Data!E184</f>
        <v>177</v>
      </c>
      <c r="G184" s="8">
        <f>Data!L184</f>
        <v>198615.76</v>
      </c>
      <c r="H184" t="str">
        <f>Data!K184</f>
        <v>Sufficient</v>
      </c>
      <c r="I184" s="22">
        <f t="shared" si="4"/>
        <v>0</v>
      </c>
      <c r="J184" s="22" t="str">
        <f t="shared" si="5"/>
        <v>Low Risk</v>
      </c>
    </row>
    <row r="185" spans="1:10" x14ac:dyDescent="0.3">
      <c r="A185" t="str">
        <f>Data!A185</f>
        <v>ELE0184</v>
      </c>
      <c r="B185" t="str">
        <f>Data!B185</f>
        <v>Electronics Item 184</v>
      </c>
      <c r="C185" t="str">
        <f>Data!C185</f>
        <v>Category C</v>
      </c>
      <c r="D185" t="str">
        <f>Data!G185</f>
        <v>Supplier Y</v>
      </c>
      <c r="E185" s="2">
        <f>Data!D185</f>
        <v>420</v>
      </c>
      <c r="F185" s="2">
        <f>Data!E185</f>
        <v>140</v>
      </c>
      <c r="G185" s="8">
        <f>Data!L185</f>
        <v>47632.2</v>
      </c>
      <c r="H185" t="str">
        <f>Data!K185</f>
        <v>Sufficient</v>
      </c>
      <c r="I185" s="22">
        <f t="shared" si="4"/>
        <v>0</v>
      </c>
      <c r="J185" s="22" t="str">
        <f t="shared" si="5"/>
        <v>Low Risk</v>
      </c>
    </row>
    <row r="186" spans="1:10" x14ac:dyDescent="0.3">
      <c r="A186" t="str">
        <f>Data!A186</f>
        <v>ELE0185</v>
      </c>
      <c r="B186" t="str">
        <f>Data!B186</f>
        <v>Electronics Item 185</v>
      </c>
      <c r="C186" t="str">
        <f>Data!C186</f>
        <v>Category C</v>
      </c>
      <c r="D186" t="str">
        <f>Data!G186</f>
        <v>Supplier Z</v>
      </c>
      <c r="E186" s="2">
        <f>Data!D186</f>
        <v>396</v>
      </c>
      <c r="F186" s="2">
        <f>Data!E186</f>
        <v>85</v>
      </c>
      <c r="G186" s="8">
        <f>Data!L186</f>
        <v>125128.08</v>
      </c>
      <c r="H186" t="str">
        <f>Data!K186</f>
        <v>Sufficient</v>
      </c>
      <c r="I186" s="22">
        <f t="shared" si="4"/>
        <v>0</v>
      </c>
      <c r="J186" s="22" t="str">
        <f t="shared" si="5"/>
        <v>Low Risk</v>
      </c>
    </row>
    <row r="187" spans="1:10" x14ac:dyDescent="0.3">
      <c r="A187" t="str">
        <f>Data!A187</f>
        <v>ELE0186</v>
      </c>
      <c r="B187" t="str">
        <f>Data!B187</f>
        <v>Electronics Item 186</v>
      </c>
      <c r="C187" t="str">
        <f>Data!C187</f>
        <v>Category C</v>
      </c>
      <c r="D187" t="str">
        <f>Data!G187</f>
        <v>Supplier X</v>
      </c>
      <c r="E187" s="2">
        <f>Data!D187</f>
        <v>168</v>
      </c>
      <c r="F187" s="2">
        <f>Data!E187</f>
        <v>162</v>
      </c>
      <c r="G187" s="8">
        <f>Data!L187</f>
        <v>3615.36</v>
      </c>
      <c r="H187" t="str">
        <f>Data!K187</f>
        <v>Sufficient</v>
      </c>
      <c r="I187" s="22">
        <f t="shared" si="4"/>
        <v>0</v>
      </c>
      <c r="J187" s="22" t="str">
        <f t="shared" si="5"/>
        <v>Low Risk</v>
      </c>
    </row>
    <row r="188" spans="1:10" x14ac:dyDescent="0.3">
      <c r="A188" t="str">
        <f>Data!A188</f>
        <v>ELE0187</v>
      </c>
      <c r="B188" t="str">
        <f>Data!B188</f>
        <v>Electronics Item 187</v>
      </c>
      <c r="C188" t="str">
        <f>Data!C188</f>
        <v>Category A</v>
      </c>
      <c r="D188" t="str">
        <f>Data!G188</f>
        <v>Supplier X</v>
      </c>
      <c r="E188" s="2">
        <f>Data!D188</f>
        <v>475</v>
      </c>
      <c r="F188" s="2">
        <f>Data!E188</f>
        <v>125</v>
      </c>
      <c r="G188" s="8">
        <f>Data!L188</f>
        <v>79196.75</v>
      </c>
      <c r="H188" t="str">
        <f>Data!K188</f>
        <v>Sufficient</v>
      </c>
      <c r="I188" s="22">
        <f t="shared" si="4"/>
        <v>0</v>
      </c>
      <c r="J188" s="22" t="str">
        <f t="shared" si="5"/>
        <v>Low Risk</v>
      </c>
    </row>
    <row r="189" spans="1:10" x14ac:dyDescent="0.3">
      <c r="A189" t="str">
        <f>Data!A189</f>
        <v>ELE0188</v>
      </c>
      <c r="B189" t="str">
        <f>Data!B189</f>
        <v>Electronics Item 188</v>
      </c>
      <c r="C189" t="str">
        <f>Data!C189</f>
        <v>Category C</v>
      </c>
      <c r="D189" t="str">
        <f>Data!G189</f>
        <v>Supplier Z</v>
      </c>
      <c r="E189" s="2">
        <f>Data!D189</f>
        <v>412</v>
      </c>
      <c r="F189" s="2">
        <f>Data!E189</f>
        <v>188</v>
      </c>
      <c r="G189" s="8">
        <f>Data!L189</f>
        <v>180806.2</v>
      </c>
      <c r="H189" t="str">
        <f>Data!K189</f>
        <v>Sufficient</v>
      </c>
      <c r="I189" s="22">
        <f t="shared" si="4"/>
        <v>0</v>
      </c>
      <c r="J189" s="22" t="str">
        <f t="shared" si="5"/>
        <v>Low Risk</v>
      </c>
    </row>
    <row r="190" spans="1:10" x14ac:dyDescent="0.3">
      <c r="A190" t="str">
        <f>Data!A190</f>
        <v>ELE0189</v>
      </c>
      <c r="B190" t="str">
        <f>Data!B190</f>
        <v>Electronics Item 189</v>
      </c>
      <c r="C190" t="str">
        <f>Data!C190</f>
        <v>Category B</v>
      </c>
      <c r="D190" t="str">
        <f>Data!G190</f>
        <v>Supplier Y</v>
      </c>
      <c r="E190" s="2">
        <f>Data!D190</f>
        <v>435</v>
      </c>
      <c r="F190" s="2">
        <f>Data!E190</f>
        <v>92</v>
      </c>
      <c r="G190" s="8">
        <f>Data!L190</f>
        <v>57507</v>
      </c>
      <c r="H190" t="str">
        <f>Data!K190</f>
        <v>Sufficient</v>
      </c>
      <c r="I190" s="22">
        <f t="shared" si="4"/>
        <v>0</v>
      </c>
      <c r="J190" s="22" t="str">
        <f t="shared" si="5"/>
        <v>Low Risk</v>
      </c>
    </row>
    <row r="191" spans="1:10" x14ac:dyDescent="0.3">
      <c r="A191" t="str">
        <f>Data!A191</f>
        <v>ELE0190</v>
      </c>
      <c r="B191" t="str">
        <f>Data!B191</f>
        <v>Electronics Item 190</v>
      </c>
      <c r="C191" t="str">
        <f>Data!C191</f>
        <v>Category A</v>
      </c>
      <c r="D191" t="str">
        <f>Data!G191</f>
        <v>Supplier X</v>
      </c>
      <c r="E191" s="2">
        <f>Data!D191</f>
        <v>455</v>
      </c>
      <c r="F191" s="2">
        <f>Data!E191</f>
        <v>136</v>
      </c>
      <c r="G191" s="8">
        <f>Data!L191</f>
        <v>183410.5</v>
      </c>
      <c r="H191" t="str">
        <f>Data!K191</f>
        <v>Sufficient</v>
      </c>
      <c r="I191" s="22">
        <f t="shared" si="4"/>
        <v>0</v>
      </c>
      <c r="J191" s="22" t="str">
        <f t="shared" si="5"/>
        <v>Low Risk</v>
      </c>
    </row>
    <row r="192" spans="1:10" x14ac:dyDescent="0.3">
      <c r="A192" t="str">
        <f>Data!A192</f>
        <v>ELE0191</v>
      </c>
      <c r="B192" t="str">
        <f>Data!B192</f>
        <v>Electronics Item 191</v>
      </c>
      <c r="C192" t="str">
        <f>Data!C192</f>
        <v>Category C</v>
      </c>
      <c r="D192" t="str">
        <f>Data!G192</f>
        <v>Supplier Y</v>
      </c>
      <c r="E192" s="2">
        <f>Data!D192</f>
        <v>450</v>
      </c>
      <c r="F192" s="2">
        <f>Data!E192</f>
        <v>151</v>
      </c>
      <c r="G192" s="8">
        <f>Data!L192</f>
        <v>217710</v>
      </c>
      <c r="H192" t="str">
        <f>Data!K192</f>
        <v>Sufficient</v>
      </c>
      <c r="I192" s="22">
        <f t="shared" si="4"/>
        <v>0</v>
      </c>
      <c r="J192" s="22" t="str">
        <f t="shared" si="5"/>
        <v>Low Risk</v>
      </c>
    </row>
    <row r="193" spans="1:10" x14ac:dyDescent="0.3">
      <c r="A193" t="str">
        <f>Data!A193</f>
        <v>ELE0192</v>
      </c>
      <c r="B193" t="str">
        <f>Data!B193</f>
        <v>Electronics Item 192</v>
      </c>
      <c r="C193" t="str">
        <f>Data!C193</f>
        <v>Category A</v>
      </c>
      <c r="D193" t="str">
        <f>Data!G193</f>
        <v>Supplier Y</v>
      </c>
      <c r="E193" s="2">
        <f>Data!D193</f>
        <v>414</v>
      </c>
      <c r="F193" s="2">
        <f>Data!E193</f>
        <v>151</v>
      </c>
      <c r="G193" s="8">
        <f>Data!L193</f>
        <v>4922.46</v>
      </c>
      <c r="H193" t="str">
        <f>Data!K193</f>
        <v>Sufficient</v>
      </c>
      <c r="I193" s="22">
        <f t="shared" si="4"/>
        <v>0</v>
      </c>
      <c r="J193" s="22" t="str">
        <f t="shared" si="5"/>
        <v>Low Risk</v>
      </c>
    </row>
    <row r="194" spans="1:10" x14ac:dyDescent="0.3">
      <c r="A194" t="str">
        <f>Data!A194</f>
        <v>ELE0193</v>
      </c>
      <c r="B194" t="str">
        <f>Data!B194</f>
        <v>Electronics Item 193</v>
      </c>
      <c r="C194" t="str">
        <f>Data!C194</f>
        <v>Category C</v>
      </c>
      <c r="D194" t="str">
        <f>Data!G194</f>
        <v>Supplier Y</v>
      </c>
      <c r="E194" s="2">
        <f>Data!D194</f>
        <v>354</v>
      </c>
      <c r="F194" s="2">
        <f>Data!E194</f>
        <v>117</v>
      </c>
      <c r="G194" s="8">
        <f>Data!L194</f>
        <v>104203.44</v>
      </c>
      <c r="H194" t="str">
        <f>Data!K194</f>
        <v>Sufficient</v>
      </c>
      <c r="I194" s="22">
        <f t="shared" si="4"/>
        <v>0</v>
      </c>
      <c r="J194" s="22" t="str">
        <f t="shared" si="5"/>
        <v>Low Risk</v>
      </c>
    </row>
    <row r="195" spans="1:10" x14ac:dyDescent="0.3">
      <c r="A195" t="str">
        <f>Data!A195</f>
        <v>ELE0194</v>
      </c>
      <c r="B195" t="str">
        <f>Data!B195</f>
        <v>Electronics Item 194</v>
      </c>
      <c r="C195" t="str">
        <f>Data!C195</f>
        <v>Category C</v>
      </c>
      <c r="D195" t="str">
        <f>Data!G195</f>
        <v>Supplier Y</v>
      </c>
      <c r="E195" s="2">
        <f>Data!D195</f>
        <v>355</v>
      </c>
      <c r="F195" s="2">
        <f>Data!E195</f>
        <v>109</v>
      </c>
      <c r="G195" s="8">
        <f>Data!L195</f>
        <v>84624.9</v>
      </c>
      <c r="H195" t="str">
        <f>Data!K195</f>
        <v>Sufficient</v>
      </c>
      <c r="I195" s="22">
        <f t="shared" ref="I195:I201" si="6">ROUND(MAX(MIN(((F195-E195)/F195)*100,100),0),0)</f>
        <v>0</v>
      </c>
      <c r="J195" s="22" t="str">
        <f t="shared" ref="J195:J201" si="7">IF(H195="Below Reorder","High Risk",IF(I195&gt;0,"Medium Risk","Low Risk"))</f>
        <v>Low Risk</v>
      </c>
    </row>
    <row r="196" spans="1:10" x14ac:dyDescent="0.3">
      <c r="A196" t="str">
        <f>Data!A196</f>
        <v>ELE0195</v>
      </c>
      <c r="B196" t="str">
        <f>Data!B196</f>
        <v>Electronics Item 195</v>
      </c>
      <c r="C196" t="str">
        <f>Data!C196</f>
        <v>Category C</v>
      </c>
      <c r="D196" t="str">
        <f>Data!G196</f>
        <v>Supplier Y</v>
      </c>
      <c r="E196" s="2">
        <f>Data!D196</f>
        <v>123</v>
      </c>
      <c r="F196" s="2">
        <f>Data!E196</f>
        <v>66</v>
      </c>
      <c r="G196" s="8">
        <f>Data!L196</f>
        <v>39300.959999999999</v>
      </c>
      <c r="H196" t="str">
        <f>Data!K196</f>
        <v>Sufficient</v>
      </c>
      <c r="I196" s="22">
        <f t="shared" si="6"/>
        <v>0</v>
      </c>
      <c r="J196" s="22" t="str">
        <f t="shared" si="7"/>
        <v>Low Risk</v>
      </c>
    </row>
    <row r="197" spans="1:10" x14ac:dyDescent="0.3">
      <c r="A197" t="str">
        <f>Data!A197</f>
        <v>ELE0196</v>
      </c>
      <c r="B197" t="str">
        <f>Data!B197</f>
        <v>Electronics Item 196</v>
      </c>
      <c r="C197" t="str">
        <f>Data!C197</f>
        <v>Category A</v>
      </c>
      <c r="D197" t="str">
        <f>Data!G197</f>
        <v>Supplier Y</v>
      </c>
      <c r="E197" s="2">
        <f>Data!D197</f>
        <v>219</v>
      </c>
      <c r="F197" s="2">
        <f>Data!E197</f>
        <v>79</v>
      </c>
      <c r="G197" s="8">
        <f>Data!L197</f>
        <v>16247.61</v>
      </c>
      <c r="H197" t="str">
        <f>Data!K197</f>
        <v>Sufficient</v>
      </c>
      <c r="I197" s="22">
        <f t="shared" si="6"/>
        <v>0</v>
      </c>
      <c r="J197" s="22" t="str">
        <f t="shared" si="7"/>
        <v>Low Risk</v>
      </c>
    </row>
    <row r="198" spans="1:10" x14ac:dyDescent="0.3">
      <c r="A198" t="str">
        <f>Data!A198</f>
        <v>ELE0197</v>
      </c>
      <c r="B198" t="str">
        <f>Data!B198</f>
        <v>Electronics Item 197</v>
      </c>
      <c r="C198" t="str">
        <f>Data!C198</f>
        <v>Category A</v>
      </c>
      <c r="D198" t="str">
        <f>Data!G198</f>
        <v>Supplier Y</v>
      </c>
      <c r="E198" s="2">
        <f>Data!D198</f>
        <v>69</v>
      </c>
      <c r="F198" s="2">
        <f>Data!E198</f>
        <v>74</v>
      </c>
      <c r="G198" s="8">
        <f>Data!L198</f>
        <v>8364.8700000000008</v>
      </c>
      <c r="H198" t="str">
        <f>Data!K198</f>
        <v>Below Reorder</v>
      </c>
      <c r="I198" s="22">
        <f t="shared" si="6"/>
        <v>7</v>
      </c>
      <c r="J198" s="22" t="str">
        <f t="shared" si="7"/>
        <v>High Risk</v>
      </c>
    </row>
    <row r="199" spans="1:10" x14ac:dyDescent="0.3">
      <c r="A199" t="str">
        <f>Data!A199</f>
        <v>ELE0198</v>
      </c>
      <c r="B199" t="str">
        <f>Data!B199</f>
        <v>Electronics Item 198</v>
      </c>
      <c r="C199" t="str">
        <f>Data!C199</f>
        <v>Category C</v>
      </c>
      <c r="D199" t="str">
        <f>Data!G199</f>
        <v>Supplier X</v>
      </c>
      <c r="E199" s="2">
        <f>Data!D199</f>
        <v>199</v>
      </c>
      <c r="F199" s="2">
        <f>Data!E199</f>
        <v>188</v>
      </c>
      <c r="G199" s="8">
        <f>Data!L199</f>
        <v>42281.53</v>
      </c>
      <c r="H199" t="str">
        <f>Data!K199</f>
        <v>Sufficient</v>
      </c>
      <c r="I199" s="22">
        <f t="shared" si="6"/>
        <v>0</v>
      </c>
      <c r="J199" s="22" t="str">
        <f t="shared" si="7"/>
        <v>Low Risk</v>
      </c>
    </row>
    <row r="200" spans="1:10" x14ac:dyDescent="0.3">
      <c r="A200" t="str">
        <f>Data!A200</f>
        <v>ELE0199</v>
      </c>
      <c r="B200" t="str">
        <f>Data!B200</f>
        <v>Electronics Item 199</v>
      </c>
      <c r="C200" t="str">
        <f>Data!C200</f>
        <v>Category B</v>
      </c>
      <c r="D200" t="str">
        <f>Data!G200</f>
        <v>Supplier Y</v>
      </c>
      <c r="E200" s="2">
        <f>Data!D200</f>
        <v>345</v>
      </c>
      <c r="F200" s="2">
        <f>Data!E200</f>
        <v>75</v>
      </c>
      <c r="G200" s="8">
        <f>Data!L200</f>
        <v>144099.6</v>
      </c>
      <c r="H200" t="str">
        <f>Data!K200</f>
        <v>Sufficient</v>
      </c>
      <c r="I200" s="22">
        <f t="shared" si="6"/>
        <v>0</v>
      </c>
      <c r="J200" s="22" t="str">
        <f t="shared" si="7"/>
        <v>Low Risk</v>
      </c>
    </row>
    <row r="201" spans="1:10" x14ac:dyDescent="0.3">
      <c r="A201" t="str">
        <f>Data!A201</f>
        <v>ELE0200</v>
      </c>
      <c r="B201" t="str">
        <f>Data!B201</f>
        <v>Electronics Item 200</v>
      </c>
      <c r="C201" t="str">
        <f>Data!C201</f>
        <v>Category A</v>
      </c>
      <c r="D201" t="str">
        <f>Data!G201</f>
        <v>Supplier Y</v>
      </c>
      <c r="E201" s="2">
        <f>Data!D201</f>
        <v>363</v>
      </c>
      <c r="F201" s="2">
        <f>Data!E201</f>
        <v>144</v>
      </c>
      <c r="G201" s="8">
        <f>Data!L201</f>
        <v>40855.65</v>
      </c>
      <c r="H201" t="str">
        <f>Data!K201</f>
        <v>Sufficient</v>
      </c>
      <c r="I201" s="22">
        <f t="shared" si="6"/>
        <v>0</v>
      </c>
      <c r="J201" s="22" t="str">
        <f t="shared" si="7"/>
        <v>Low Risk</v>
      </c>
    </row>
  </sheetData>
  <conditionalFormatting sqref="J2:J201">
    <cfRule type="cellIs" dxfId="16" priority="3" operator="equal">
      <formula>"High Risk"</formula>
    </cfRule>
    <cfRule type="cellIs" dxfId="17" priority="2" operator="equal">
      <formula>"Low Risk"</formula>
    </cfRule>
    <cfRule type="cellIs" dxfId="15" priority="1" operator="equal">
      <formula>"Medium Risk"</formula>
    </cfRule>
  </conditionalFormatting>
  <pageMargins left="0.75" right="0.75" top="1" bottom="1" header="0.511811023622047" footer="0.511811023622047"/>
  <pageSetup paperSize="9" orientation="portrait" horizontalDpi="300" verticalDpi="30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B2:Q8"/>
  <sheetViews>
    <sheetView zoomScale="90" zoomScaleNormal="55" workbookViewId="0">
      <selection activeCell="T14" sqref="T14"/>
    </sheetView>
  </sheetViews>
  <sheetFormatPr defaultColWidth="8.6640625" defaultRowHeight="14.4" x14ac:dyDescent="0.3"/>
  <cols>
    <col min="2" max="2" width="8.6640625" customWidth="1"/>
  </cols>
  <sheetData>
    <row r="2" spans="2:17" ht="36.6" x14ac:dyDescent="0.7">
      <c r="B2" s="14" t="s">
        <v>503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2:17" ht="21" x14ac:dyDescent="0.4">
      <c r="B3" s="15" t="s">
        <v>505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5" spans="2:17" ht="14.4" customHeight="1" x14ac:dyDescent="0.3">
      <c r="B5" s="16">
        <v>200</v>
      </c>
      <c r="C5" s="16"/>
      <c r="E5" s="17">
        <f>ROUND(SUM(Data!L2:L201),0)</f>
        <v>13470878</v>
      </c>
      <c r="F5" s="17"/>
      <c r="G5" s="17"/>
      <c r="H5" s="17"/>
      <c r="J5" s="18">
        <f>COUNTIF('EOQ &amp; Reorder'!K2:K201,"Order Now")</f>
        <v>47</v>
      </c>
      <c r="K5" s="18"/>
      <c r="L5" s="18"/>
      <c r="N5" s="18">
        <f>COUNTIF('Stockout Risk'!J2:J201,"High Risk")</f>
        <v>47</v>
      </c>
      <c r="O5" s="18"/>
      <c r="P5" s="18"/>
    </row>
    <row r="6" spans="2:17" ht="14.4" customHeight="1" x14ac:dyDescent="0.3">
      <c r="B6" s="16"/>
      <c r="C6" s="16"/>
      <c r="E6" s="17"/>
      <c r="F6" s="17"/>
      <c r="G6" s="17"/>
      <c r="H6" s="17"/>
      <c r="J6" s="18"/>
      <c r="K6" s="18"/>
      <c r="L6" s="18"/>
      <c r="N6" s="18"/>
      <c r="O6" s="18"/>
      <c r="P6" s="18"/>
    </row>
    <row r="7" spans="2:17" ht="14.4" customHeight="1" x14ac:dyDescent="0.3">
      <c r="B7" s="16"/>
      <c r="C7" s="16"/>
      <c r="E7" s="17"/>
      <c r="F7" s="17"/>
      <c r="G7" s="17"/>
      <c r="H7" s="17"/>
      <c r="J7" s="18"/>
      <c r="K7" s="18"/>
      <c r="L7" s="18"/>
      <c r="N7" s="18"/>
      <c r="O7" s="18"/>
      <c r="P7" s="18"/>
    </row>
    <row r="8" spans="2:17" x14ac:dyDescent="0.3">
      <c r="B8" s="13" t="s">
        <v>506</v>
      </c>
      <c r="C8" s="11"/>
      <c r="E8" s="12" t="s">
        <v>507</v>
      </c>
      <c r="F8" s="10"/>
      <c r="G8" s="10"/>
      <c r="H8" s="10"/>
      <c r="J8" s="12" t="s">
        <v>488</v>
      </c>
      <c r="K8" s="12"/>
      <c r="L8" s="12"/>
      <c r="N8" s="12" t="s">
        <v>508</v>
      </c>
      <c r="O8" s="12"/>
    </row>
  </sheetData>
  <mergeCells count="10">
    <mergeCell ref="J8:L8"/>
    <mergeCell ref="J5:L7"/>
    <mergeCell ref="N8:O8"/>
    <mergeCell ref="B2:Q2"/>
    <mergeCell ref="B3:Q3"/>
    <mergeCell ref="N5:P7"/>
    <mergeCell ref="B5:C7"/>
    <mergeCell ref="B8:C8"/>
    <mergeCell ref="E5:H7"/>
    <mergeCell ref="E8:H8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ABC Analysis</vt:lpstr>
      <vt:lpstr>EOQ &amp; Reorder</vt:lpstr>
      <vt:lpstr>Stockout Risk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2026-06-08T17:34:26Z</dcterms:created>
  <dcterms:modified xsi:type="dcterms:W3CDTF">2026-06-11T02:28:38Z</dcterms:modified>
  <dc:language>en-US</dc:language>
</cp:coreProperties>
</file>